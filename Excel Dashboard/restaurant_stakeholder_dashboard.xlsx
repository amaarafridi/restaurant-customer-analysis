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Chart Data" sheetId="3" state="hidden" r:id="rId3"/>
    <sheet xmlns:r="http://schemas.openxmlformats.org/officeDocument/2006/relationships" name="Stakeholder Report" sheetId="4" state="visible" r:id="rId4"/>
    <sheet xmlns:r="http://schemas.openxmlformats.org/officeDocument/2006/relationships" name="Definitions" sheetId="5" state="visible" r:id="rId5"/>
  </sheets>
  <definedNames>
    <definedName name="_xlnm._FilterDatabase" localSheetId="1" hidden="1">'Customer Data'!$A$1:$L$101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666666"/>
    </font>
    <font>
      <b val="1"/>
      <color rgb="001F1F1F"/>
    </font>
    <font>
      <b val="1"/>
      <color rgb="001F1F1F"/>
      <sz val="17"/>
    </font>
    <font>
      <b val="1"/>
    </font>
    <font>
      <b val="1"/>
      <color rgb="00FFFFFF"/>
      <sz val="12"/>
    </font>
    <font>
      <b val="1"/>
      <color rgb="00FFFFFF"/>
      <sz val="20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  <xf numFmtId="1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6" fillId="0" borderId="1" pivotButton="0" quotePrefix="0" xfId="0"/>
    <xf numFmtId="164" fontId="0" fillId="0" borderId="1" pivotButton="0" quotePrefix="0" xfId="0"/>
    <xf numFmtId="0" fontId="0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6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customers: 2022 vs 2023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Data'!$A$2:$A$11</f>
            </numRef>
          </cat>
          <val>
            <numRef>
              <f>'Chart Data'!$B$2:$B$11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Data'!$A$2:$A$11</f>
            </numRef>
          </cat>
          <val>
            <numRef>
              <f>'Chart Data'!$C$2:$C$11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customer value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Data'!$E$2:$E$3</f>
            </numRef>
          </cat>
          <val>
            <numRef>
              <f>'Chart Data'!$F$2:$F$3</f>
            </numRef>
          </val>
        </ser>
        <ser>
          <idx val="1"/>
          <order val="1"/>
          <tx>
            <strRef>
              <f>'Chart 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Data'!$E$2:$E$3</f>
            </numRef>
          </cat>
          <val>
            <numRef>
              <f>'Chart Data'!$G$2:$G$3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payment-method share across customers</a:t>
            </a:r>
          </a:p>
        </rich>
      </tx>
    </title>
    <plotArea>
      <pieChart>
        <varyColors val="1"/>
        <ser>
          <idx val="0"/>
          <order val="0"/>
          <tx>
            <strRef>
              <f>'Chart Data'!J1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Data'!$I$2:$I$5</f>
            </numRef>
          </cat>
          <val>
            <numRef>
              <f>'Chart Data'!$J$2:$J$5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Main Dish Share (2022)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Data'!$L$2:$L$5</f>
            </numRef>
          </cat>
          <val>
            <numRef>
              <f>'Chart Data'!$M$2:$M$5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32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8" customWidth="1" min="5" max="5"/>
    <col width="15" customWidth="1" min="6" max="6"/>
    <col width="4" customWidth="1" min="7" max="7"/>
    <col width="20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RESTAURANT CUSTOMER &amp; STAKEHOLDER DASHBOARD</t>
        </is>
      </c>
    </row>
    <row r="2"/>
    <row r="3">
      <c r="A3" s="2" t="inlineStr">
        <is>
          <t>Use the dropdowns to change the view. Charts update from the underlying customer-level analysis data.</t>
        </is>
      </c>
    </row>
    <row r="5">
      <c r="A5" s="3" t="inlineStr">
        <is>
          <t>FILTERS</t>
        </is>
      </c>
    </row>
    <row r="6">
      <c r="A6" s="4" t="inlineStr">
        <is>
          <t>Customer</t>
        </is>
      </c>
      <c r="B6" s="5" t="inlineStr">
        <is>
          <t>All</t>
        </is>
      </c>
      <c r="D6" s="4" t="inlineStr">
        <is>
          <t>Value Segment</t>
        </is>
      </c>
      <c r="E6" s="5" t="inlineStr">
        <is>
          <t>All</t>
        </is>
      </c>
      <c r="G6" s="4" t="inlineStr">
        <is>
          <t>Metric Year</t>
        </is>
      </c>
      <c r="H6" s="5" t="inlineStr">
        <is>
          <t>Metric Year</t>
        </is>
      </c>
      <c r="J6" t="inlineStr">
        <is>
          <t>Selected Customer</t>
        </is>
      </c>
      <c r="K6" s="6">
        <f>IF($B$6="All","None",$B$6)</f>
        <v/>
      </c>
    </row>
    <row r="8">
      <c r="A8" s="7" t="inlineStr">
        <is>
          <t>Customers</t>
        </is>
      </c>
      <c r="B8" s="8" t="n"/>
      <c r="C8" s="8" t="n"/>
      <c r="D8" s="7" t="inlineStr">
        <is>
          <t>Selected-Year Revenue</t>
        </is>
      </c>
      <c r="E8" s="8" t="n"/>
      <c r="F8" s="8" t="n"/>
      <c r="G8" s="7" t="inlineStr">
        <is>
          <t>Selected-Year Orders</t>
        </is>
      </c>
      <c r="H8" s="8" t="n"/>
      <c r="I8" s="8" t="n"/>
      <c r="J8" s="7" t="inlineStr">
        <is>
          <t>Average Order Value</t>
        </is>
      </c>
      <c r="K8" s="8" t="n"/>
      <c r="L8" s="8" t="n"/>
      <c r="M8" s="7" t="inlineStr">
        <is>
          <t>2022→2023 Correlation</t>
        </is>
      </c>
      <c r="N8" s="8" t="n"/>
    </row>
    <row r="9">
      <c r="A9" s="9">
        <f>IF($B$6&lt;&gt;"All",1,IF($E$6="All",COUNTA('Customer Data'!$A$2:$A$101),COUNTIF('Customer Data'!$L$2:$L$101,IF($E$6="High Value 2023",1,0))))</f>
        <v/>
      </c>
      <c r="B9" s="8" t="n"/>
      <c r="C9" s="8" t="n"/>
      <c r="D9" s="10">
        <f>IF($H$6="2022",=IF($B$6&lt;&gt;"All",SUMIF('Customer Data'!$A$2:$A$101,$B$6,'Customer Data'!$C$2:$C$101),IF($E$6="All",SUM('Customer Data'!$C$2:$C$101),SUMIF('Customer Data'!$L$2:$L$101,IF($E$6="High Value 2023",1,0),'Customer Data'!$C$2:$C$101))),=IF($B$6&lt;&gt;"All",SUMIF('Customer Data'!$A$2:$A$101,$B$6,'Customer Data'!$K$2:$K$101),IF($E$6="All",SUM('Customer Data'!$K$2:$K$101),SUMIF('Customer Data'!$L$2:$L$101,IF($E$6="High Value 2023",1,0),'Customer Data'!$K$2:$K$101))))</f>
        <v/>
      </c>
      <c r="E9" s="8" t="n"/>
      <c r="F9" s="8" t="n"/>
      <c r="G9" s="11">
        <f>IF($B$6&lt;&gt;"All",SUMIF('Customer Data'!$A$2:$A$101,$B$6,'Customer Data'!$B$2:$B$101),IF($E$6="All",SUM('Customer Data'!$B$2:$B$101),SUMIF('Customer Data'!$L$2:$L$101,IF($E$6="High Value 2023",1,0),'Customer Data'!$B$2:$B$101)))</f>
        <v/>
      </c>
      <c r="H9" s="8" t="n"/>
      <c r="I9" s="8" t="n"/>
      <c r="J9" s="12">
        <f>IF($B$6&lt;&gt;"All",AVERAGEIF('Customer Data'!$A$2:$A$101,$B$6,'Customer Data'!$D$2:$D$101),IF($E$6="All",AVERAGE('Customer Data'!$D$2:$D$101),AVERAGEIF('Customer Data'!$L$2:$L$101,IF($E$6="High Value 2023",1,0),'Customer Data'!$D$2:$D$101)))</f>
        <v/>
      </c>
      <c r="K9" s="8" t="n"/>
      <c r="L9" s="8" t="n"/>
      <c r="M9" s="13">
        <f>CORREL('Customer Data'!$C$2:$C$101,'Customer Data'!$K$2:$K$101)</f>
        <v/>
      </c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6">
      <c r="A16" s="14" t="inlineStr">
        <is>
          <t>TOP 10 CUSTOMERS BY 2023 REVENUE</t>
        </is>
      </c>
      <c r="H16" s="14" t="inlineStr">
        <is>
          <t>REVENUE BY CUSTOMER VALUE SEGMENT</t>
        </is>
      </c>
    </row>
    <row r="20">
      <c r="H20" s="15" t="inlineStr">
        <is>
          <t>Customer</t>
        </is>
      </c>
      <c r="I20" s="8">
        <f>IF($B$6="All","Select a customer", $B$6)</f>
        <v/>
      </c>
    </row>
    <row r="21">
      <c r="H21" s="15" t="inlineStr">
        <is>
          <t>Orders 2022</t>
        </is>
      </c>
      <c r="I21" s="8">
        <f>IF($B$6="All","—",INDEX('Customer Data'!$B$2:$B$101,MATCH($B$6,'Customer Data'!$A$2:$A$101,0)))</f>
        <v/>
      </c>
    </row>
    <row r="22">
      <c r="H22" s="15" t="inlineStr">
        <is>
          <t>Revenue 2022</t>
        </is>
      </c>
      <c r="I22" s="16">
        <f>IF($B$6="All","—",INDEX('Customer Data'!$C$2:$C$101,MATCH($B$6,'Customer Data'!$A$2:$A$101,0)))</f>
        <v/>
      </c>
    </row>
    <row r="23">
      <c r="H23" s="15" t="inlineStr">
        <is>
          <t>Revenue 2023</t>
        </is>
      </c>
      <c r="I23" s="16">
        <f>IF($B$6="All","—",INDEX('Customer Data'!$K$2:$K$101,MATCH($B$6,'Customer Data'!$A$2:$A$101,0)))</f>
        <v/>
      </c>
    </row>
    <row r="24">
      <c r="H24" s="15" t="inlineStr">
        <is>
          <t>High Value 2023</t>
        </is>
      </c>
      <c r="I24" s="8">
        <f>IF($B$6="All","—",IF(INDEX('Customer Data'!$L$2:$L$101,MATCH($B$6,'Customer Data'!$A$2:$A$101,0))=1,"Yes","No"))</f>
        <v/>
      </c>
    </row>
    <row r="32">
      <c r="A32" s="14" t="inlineStr">
        <is>
          <t>PAYMENT METHOD MIX</t>
        </is>
      </c>
      <c r="H32" s="14" t="inlineStr">
        <is>
          <t>MAIN DISH SHARE DISTRIBUTION</t>
        </is>
      </c>
    </row>
    <row r="48">
      <c r="A48" s="14" t="inlineStr">
        <is>
          <t>STAKEHOLDER DECISION POINTS</t>
        </is>
      </c>
    </row>
    <row r="49" ht="28" customHeight="1">
      <c r="A49" s="17" t="inlineStr">
        <is>
          <t>1. Protect the current revenue engine: the presentation identifies Main Dishes as 47% of revenue and the top three dishes as major anchors.</t>
        </is>
      </c>
    </row>
    <row r="50" ht="28" customHeight="1">
      <c r="A50" s="17" t="inlineStr">
        <is>
          <t>2. Revenue is stable rather than growing: the presentation reports no sustained upward trend across the two-year period.</t>
        </is>
      </c>
    </row>
    <row r="51" ht="28" customHeight="1">
      <c r="A51" s="17" t="inlineStr">
        <is>
          <t>3. Customer prediction is not decision-ready: 2022→2023 revenue correlation is 0.10 and the best model ROC-AUC is 0.55.</t>
        </is>
      </c>
    </row>
    <row r="52" ht="28" customHeight="1">
      <c r="A52" s="17" t="inlineStr">
        <is>
          <t>4. Improve customer data before predictive targeting: capture party size, promotion exposure, feedback, and loyalty engagement.</t>
        </is>
      </c>
    </row>
  </sheetData>
  <mergeCells count="17">
    <mergeCell ref="A1:N2"/>
    <mergeCell ref="A3:N3"/>
    <mergeCell ref="M9:N10"/>
    <mergeCell ref="A50:N50"/>
    <mergeCell ref="A48:N48"/>
    <mergeCell ref="A8:C8"/>
    <mergeCell ref="G9:I10"/>
    <mergeCell ref="A52:N52"/>
    <mergeCell ref="G8:I8"/>
    <mergeCell ref="J8:L8"/>
    <mergeCell ref="A9:C10"/>
    <mergeCell ref="J9:L10"/>
    <mergeCell ref="D9:F10"/>
    <mergeCell ref="A49:N49"/>
    <mergeCell ref="A51:N51"/>
    <mergeCell ref="D8:F8"/>
    <mergeCell ref="M8:N8"/>
  </mergeCells>
  <dataValidations count="3">
    <dataValidation sqref="B6" showDropDown="0" showInputMessage="0" showErrorMessage="0" allowBlank="0" type="list">
      <formula1>'Definitions'!$A$2:$A$102</formula1>
    </dataValidation>
    <dataValidation sqref="E6" showDropDown="0" showInputMessage="0" showErrorMessage="0" allowBlank="0" type="list">
      <formula1>'Definitions'!$B$2:$B$4</formula1>
    </dataValidation>
    <dataValidation sqref="H6" showDropDown="0" showInputMessage="0" showErrorMessage="0" allowBlank="0" type="list">
      <formula1>'Definitions'!$C$2:$C$3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16" customWidth="1" min="6" max="6"/>
    <col width="23" customWidth="1" min="7" max="7"/>
    <col width="26" customWidth="1" min="8" max="8"/>
    <col width="19" customWidth="1" min="9" max="9"/>
    <col width="24" customWidth="1" min="10" max="10"/>
    <col width="14" customWidth="1" min="11" max="11"/>
    <col width="17" customWidth="1" min="12" max="12"/>
  </cols>
  <sheetData>
    <row r="1">
      <c r="A1" s="18" t="inlineStr">
        <is>
          <t>Customer ID</t>
        </is>
      </c>
      <c r="B1" s="18" t="inlineStr">
        <is>
          <t>orders_2022</t>
        </is>
      </c>
      <c r="C1" s="18" t="inlineStr">
        <is>
          <t>revenue_2022</t>
        </is>
      </c>
      <c r="D1" s="18" t="inlineStr">
        <is>
          <t>avg_order_value_2022</t>
        </is>
      </c>
      <c r="E1" s="18" t="inlineStr">
        <is>
          <t>main_dish_share_2022</t>
        </is>
      </c>
      <c r="F1" s="18" t="inlineStr">
        <is>
          <t>pay_share_Cash</t>
        </is>
      </c>
      <c r="G1" s="18" t="inlineStr">
        <is>
          <t>pay_share_Credit Card</t>
        </is>
      </c>
      <c r="H1" s="18" t="inlineStr">
        <is>
          <t>pay_share_Digital Wallet</t>
        </is>
      </c>
      <c r="I1" s="18" t="inlineStr">
        <is>
          <t>pay_share_Unknown</t>
        </is>
      </c>
      <c r="J1" s="18" t="inlineStr">
        <is>
          <t>order_consistency_2022</t>
        </is>
      </c>
      <c r="K1" s="18" t="inlineStr">
        <is>
          <t>revenue_2023</t>
        </is>
      </c>
      <c r="L1" s="18" t="inlineStr">
        <is>
          <t>high_value_2023</t>
        </is>
      </c>
    </row>
    <row r="2">
      <c r="A2" s="8" t="inlineStr">
        <is>
          <t>CUST_001</t>
        </is>
      </c>
      <c r="B2" s="8" t="n">
        <v>88</v>
      </c>
      <c r="C2" s="16" t="n">
        <v>1703.5</v>
      </c>
      <c r="D2" s="16" t="n">
        <v>19.35795455</v>
      </c>
      <c r="E2" s="19" t="n">
        <v>0.136363636</v>
      </c>
      <c r="F2" s="19" t="n">
        <v>0.25</v>
      </c>
      <c r="G2" s="19" t="n">
        <v>0.386363636</v>
      </c>
      <c r="H2" s="19" t="n">
        <v>0.284090909</v>
      </c>
      <c r="I2" s="19" t="n">
        <v>0.079545455</v>
      </c>
      <c r="J2" s="8" t="n">
        <v>2.309401077</v>
      </c>
      <c r="K2" s="16" t="n">
        <v>1320</v>
      </c>
      <c r="L2" s="8" t="n">
        <v>0</v>
      </c>
    </row>
    <row r="3">
      <c r="A3" s="8" t="inlineStr">
        <is>
          <t>CUST_002</t>
        </is>
      </c>
      <c r="B3" s="8" t="n">
        <v>82</v>
      </c>
      <c r="C3" s="16" t="n">
        <v>1618</v>
      </c>
      <c r="D3" s="16" t="n">
        <v>19.73170732</v>
      </c>
      <c r="E3" s="19" t="n">
        <v>0.195121951</v>
      </c>
      <c r="F3" s="19" t="n">
        <v>0.329268293</v>
      </c>
      <c r="G3" s="19" t="n">
        <v>0.280487805</v>
      </c>
      <c r="H3" s="19" t="n">
        <v>0.353658537</v>
      </c>
      <c r="I3" s="19" t="n">
        <v>0.036585366</v>
      </c>
      <c r="J3" s="8" t="n">
        <v>2.918073254</v>
      </c>
      <c r="K3" s="16" t="n">
        <v>1631.5</v>
      </c>
      <c r="L3" s="8" t="n">
        <v>0</v>
      </c>
    </row>
    <row r="4">
      <c r="A4" s="8" t="inlineStr">
        <is>
          <t>CUST_003</t>
        </is>
      </c>
      <c r="B4" s="8" t="n">
        <v>80</v>
      </c>
      <c r="C4" s="16" t="n">
        <v>1485.5</v>
      </c>
      <c r="D4" s="16" t="n">
        <v>18.56875</v>
      </c>
      <c r="E4" s="19" t="n">
        <v>0.2</v>
      </c>
      <c r="F4" s="19" t="n">
        <v>0.3375</v>
      </c>
      <c r="G4" s="19" t="n">
        <v>0.375</v>
      </c>
      <c r="H4" s="19" t="n">
        <v>0.2625</v>
      </c>
      <c r="I4" s="19" t="n">
        <v>0.025</v>
      </c>
      <c r="J4" s="8" t="n">
        <v>2.188122206</v>
      </c>
      <c r="K4" s="16" t="n">
        <v>1127.5</v>
      </c>
      <c r="L4" s="8" t="n">
        <v>0</v>
      </c>
    </row>
    <row r="5">
      <c r="A5" s="8" t="inlineStr">
        <is>
          <t>CUST_004</t>
        </is>
      </c>
      <c r="B5" s="8" t="n">
        <v>78</v>
      </c>
      <c r="C5" s="16" t="n">
        <v>1618.5</v>
      </c>
      <c r="D5" s="16" t="n">
        <v>20.75</v>
      </c>
      <c r="E5" s="19" t="n">
        <v>0.217948718</v>
      </c>
      <c r="F5" s="19" t="n">
        <v>0.333333333</v>
      </c>
      <c r="G5" s="19" t="n">
        <v>0.307692308</v>
      </c>
      <c r="H5" s="19" t="n">
        <v>0.320512821</v>
      </c>
      <c r="I5" s="19" t="n">
        <v>0.038461538</v>
      </c>
      <c r="J5" s="8" t="n">
        <v>2.746899078</v>
      </c>
      <c r="K5" s="16" t="n">
        <v>1556</v>
      </c>
      <c r="L5" s="8" t="n">
        <v>0</v>
      </c>
    </row>
    <row r="6">
      <c r="A6" s="8" t="inlineStr">
        <is>
          <t>CUST_005</t>
        </is>
      </c>
      <c r="B6" s="8" t="n">
        <v>69</v>
      </c>
      <c r="C6" s="16" t="n">
        <v>1207.5</v>
      </c>
      <c r="D6" s="16" t="n">
        <v>17.5</v>
      </c>
      <c r="E6" s="19" t="n">
        <v>0.15942029</v>
      </c>
      <c r="F6" s="19" t="n">
        <v>0.31884058</v>
      </c>
      <c r="G6" s="19" t="n">
        <v>0.420289855</v>
      </c>
      <c r="H6" s="19" t="n">
        <v>0.217391304</v>
      </c>
      <c r="I6" s="19" t="n">
        <v>0.043478261</v>
      </c>
      <c r="J6" s="8" t="n">
        <v>3.621275516</v>
      </c>
      <c r="K6" s="16" t="n">
        <v>1519</v>
      </c>
      <c r="L6" s="8" t="n">
        <v>0</v>
      </c>
    </row>
    <row r="7">
      <c r="A7" s="8" t="inlineStr">
        <is>
          <t>CUST_006</t>
        </is>
      </c>
      <c r="B7" s="8" t="n">
        <v>74</v>
      </c>
      <c r="C7" s="16" t="n">
        <v>1567</v>
      </c>
      <c r="D7" s="16" t="n">
        <v>21.17567568</v>
      </c>
      <c r="E7" s="19" t="n">
        <v>0.243243243</v>
      </c>
      <c r="F7" s="19" t="n">
        <v>0.310810811</v>
      </c>
      <c r="G7" s="19" t="n">
        <v>0.351351351</v>
      </c>
      <c r="H7" s="19" t="n">
        <v>0.297297297</v>
      </c>
      <c r="I7" s="19" t="n">
        <v>0.040540541</v>
      </c>
      <c r="J7" s="8" t="n">
        <v>3.099364549</v>
      </c>
      <c r="K7" s="16" t="n">
        <v>1774</v>
      </c>
      <c r="L7" s="8" t="n">
        <v>1</v>
      </c>
    </row>
    <row r="8">
      <c r="A8" s="8" t="inlineStr">
        <is>
          <t>CUST_007</t>
        </is>
      </c>
      <c r="B8" s="8" t="n">
        <v>92</v>
      </c>
      <c r="C8" s="16" t="n">
        <v>1754.5</v>
      </c>
      <c r="D8" s="16" t="n">
        <v>19.07065217</v>
      </c>
      <c r="E8" s="19" t="n">
        <v>0.282608696</v>
      </c>
      <c r="F8" s="19" t="n">
        <v>0.315217391</v>
      </c>
      <c r="G8" s="19" t="n">
        <v>0.315217391</v>
      </c>
      <c r="H8" s="19" t="n">
        <v>0.326086957</v>
      </c>
      <c r="I8" s="19" t="n">
        <v>0.043478261</v>
      </c>
      <c r="J8" s="8" t="n">
        <v>2.640018365</v>
      </c>
      <c r="K8" s="16" t="n">
        <v>1633.5</v>
      </c>
      <c r="L8" s="8" t="n">
        <v>0</v>
      </c>
    </row>
    <row r="9">
      <c r="A9" s="8" t="inlineStr">
        <is>
          <t>CUST_008</t>
        </is>
      </c>
      <c r="B9" s="8" t="n">
        <v>72</v>
      </c>
      <c r="C9" s="16" t="n">
        <v>1492.5</v>
      </c>
      <c r="D9" s="16" t="n">
        <v>20.72916667</v>
      </c>
      <c r="E9" s="19" t="n">
        <v>0.236111111</v>
      </c>
      <c r="F9" s="19" t="n">
        <v>0.291666667</v>
      </c>
      <c r="G9" s="19" t="n">
        <v>0.402777778</v>
      </c>
      <c r="H9" s="19" t="n">
        <v>0.25</v>
      </c>
      <c r="I9" s="19" t="n">
        <v>0.055555556</v>
      </c>
      <c r="J9" s="8" t="n">
        <v>2.522624896</v>
      </c>
      <c r="K9" s="16" t="n">
        <v>1853.5</v>
      </c>
      <c r="L9" s="8" t="n">
        <v>1</v>
      </c>
    </row>
    <row r="10">
      <c r="A10" s="8" t="inlineStr">
        <is>
          <t>CUST_009</t>
        </is>
      </c>
      <c r="B10" s="8" t="n">
        <v>81</v>
      </c>
      <c r="C10" s="16" t="n">
        <v>1492.5</v>
      </c>
      <c r="D10" s="16" t="n">
        <v>18.42592593</v>
      </c>
      <c r="E10" s="19" t="n">
        <v>0.160493827</v>
      </c>
      <c r="F10" s="19" t="n">
        <v>0.333333333</v>
      </c>
      <c r="G10" s="19" t="n">
        <v>0.333333333</v>
      </c>
      <c r="H10" s="19" t="n">
        <v>0.296296296</v>
      </c>
      <c r="I10" s="19" t="n">
        <v>0.037037037</v>
      </c>
      <c r="J10" s="8" t="n">
        <v>3.107907803</v>
      </c>
      <c r="K10" s="16" t="n">
        <v>1441</v>
      </c>
      <c r="L10" s="8" t="n">
        <v>0</v>
      </c>
    </row>
    <row r="11">
      <c r="A11" s="8" t="inlineStr">
        <is>
          <t>CUST_010</t>
        </is>
      </c>
      <c r="B11" s="8" t="n">
        <v>87</v>
      </c>
      <c r="C11" s="16" t="n">
        <v>1747.5</v>
      </c>
      <c r="D11" s="16" t="n">
        <v>20.0862069</v>
      </c>
      <c r="E11" s="19" t="n">
        <v>0.195402299</v>
      </c>
      <c r="F11" s="19" t="n">
        <v>0.298850575</v>
      </c>
      <c r="G11" s="19" t="n">
        <v>0.367816092</v>
      </c>
      <c r="H11" s="19" t="n">
        <v>0.298850575</v>
      </c>
      <c r="I11" s="19" t="n">
        <v>0.034482759</v>
      </c>
      <c r="J11" s="8" t="n">
        <v>2.632834629</v>
      </c>
      <c r="K11" s="16" t="n">
        <v>1431</v>
      </c>
      <c r="L11" s="8" t="n">
        <v>0</v>
      </c>
    </row>
    <row r="12">
      <c r="A12" s="8" t="inlineStr">
        <is>
          <t>CUST_011</t>
        </is>
      </c>
      <c r="B12" s="8" t="n">
        <v>92</v>
      </c>
      <c r="C12" s="16" t="n">
        <v>1390.5</v>
      </c>
      <c r="D12" s="16" t="n">
        <v>15.11413043</v>
      </c>
      <c r="E12" s="19" t="n">
        <v>0.130434783</v>
      </c>
      <c r="F12" s="19" t="n">
        <v>0.239130435</v>
      </c>
      <c r="G12" s="19" t="n">
        <v>0.336956522</v>
      </c>
      <c r="H12" s="19" t="n">
        <v>0.380434783</v>
      </c>
      <c r="I12" s="19" t="n">
        <v>0.043478261</v>
      </c>
      <c r="J12" s="8" t="n">
        <v>2.498484389</v>
      </c>
      <c r="K12" s="16" t="n">
        <v>1493</v>
      </c>
      <c r="L12" s="8" t="n">
        <v>0</v>
      </c>
    </row>
    <row r="13">
      <c r="A13" s="8" t="inlineStr">
        <is>
          <t>CUST_012</t>
        </is>
      </c>
      <c r="B13" s="8" t="n">
        <v>89</v>
      </c>
      <c r="C13" s="16" t="n">
        <v>1562.5</v>
      </c>
      <c r="D13" s="16" t="n">
        <v>17.55617978</v>
      </c>
      <c r="E13" s="19" t="n">
        <v>0.123595506</v>
      </c>
      <c r="F13" s="19" t="n">
        <v>0.235955056</v>
      </c>
      <c r="G13" s="19" t="n">
        <v>0.325842697</v>
      </c>
      <c r="H13" s="19" t="n">
        <v>0.415730337</v>
      </c>
      <c r="I13" s="19" t="n">
        <v>0.02247191</v>
      </c>
      <c r="J13" s="8" t="n">
        <v>2.937479852</v>
      </c>
      <c r="K13" s="16" t="n">
        <v>1743</v>
      </c>
      <c r="L13" s="8" t="n">
        <v>0</v>
      </c>
    </row>
    <row r="14">
      <c r="A14" s="8" t="inlineStr">
        <is>
          <t>CUST_013</t>
        </is>
      </c>
      <c r="B14" s="8" t="n">
        <v>70</v>
      </c>
      <c r="C14" s="16" t="n">
        <v>1221</v>
      </c>
      <c r="D14" s="16" t="n">
        <v>17.44285714</v>
      </c>
      <c r="E14" s="19" t="n">
        <v>0.114285714</v>
      </c>
      <c r="F14" s="19" t="n">
        <v>0.357142857</v>
      </c>
      <c r="G14" s="19" t="n">
        <v>0.314285714</v>
      </c>
      <c r="H14" s="19" t="n">
        <v>0.285714286</v>
      </c>
      <c r="I14" s="19" t="n">
        <v>0.042857143</v>
      </c>
      <c r="J14" s="8" t="n">
        <v>2.367712104</v>
      </c>
      <c r="K14" s="16" t="n">
        <v>1425</v>
      </c>
      <c r="L14" s="8" t="n">
        <v>0</v>
      </c>
    </row>
    <row r="15">
      <c r="A15" s="8" t="inlineStr">
        <is>
          <t>CUST_014</t>
        </is>
      </c>
      <c r="B15" s="8" t="n">
        <v>79</v>
      </c>
      <c r="C15" s="16" t="n">
        <v>1695.5</v>
      </c>
      <c r="D15" s="16" t="n">
        <v>21.46202532</v>
      </c>
      <c r="E15" s="19" t="n">
        <v>0.240506329</v>
      </c>
      <c r="F15" s="19" t="n">
        <v>0.253164557</v>
      </c>
      <c r="G15" s="19" t="n">
        <v>0.392405063</v>
      </c>
      <c r="H15" s="19" t="n">
        <v>0.303797468</v>
      </c>
      <c r="I15" s="19" t="n">
        <v>0.050632911</v>
      </c>
      <c r="J15" s="8" t="n">
        <v>1.378954369</v>
      </c>
      <c r="K15" s="16" t="n">
        <v>1652</v>
      </c>
      <c r="L15" s="8" t="n">
        <v>0</v>
      </c>
    </row>
    <row r="16">
      <c r="A16" s="8" t="inlineStr">
        <is>
          <t>CUST_015</t>
        </is>
      </c>
      <c r="B16" s="8" t="n">
        <v>87</v>
      </c>
      <c r="C16" s="16" t="n">
        <v>1427.5</v>
      </c>
      <c r="D16" s="16" t="n">
        <v>16.40804598</v>
      </c>
      <c r="E16" s="19" t="n">
        <v>0.091954023</v>
      </c>
      <c r="F16" s="19" t="n">
        <v>0.413793103</v>
      </c>
      <c r="G16" s="19" t="n">
        <v>0.275862069</v>
      </c>
      <c r="H16" s="19" t="n">
        <v>0.229885057</v>
      </c>
      <c r="I16" s="19" t="n">
        <v>0.08045977</v>
      </c>
      <c r="J16" s="8" t="n">
        <v>3.695820736</v>
      </c>
      <c r="K16" s="16" t="n">
        <v>1339.5</v>
      </c>
      <c r="L16" s="8" t="n">
        <v>0</v>
      </c>
    </row>
    <row r="17">
      <c r="A17" s="8" t="inlineStr">
        <is>
          <t>CUST_016</t>
        </is>
      </c>
      <c r="B17" s="8" t="n">
        <v>92</v>
      </c>
      <c r="C17" s="16" t="n">
        <v>1574.5</v>
      </c>
      <c r="D17" s="16" t="n">
        <v>17.11413043</v>
      </c>
      <c r="E17" s="19" t="n">
        <v>0.152173913</v>
      </c>
      <c r="F17" s="19" t="n">
        <v>0.358695652</v>
      </c>
      <c r="G17" s="19" t="n">
        <v>0.239130435</v>
      </c>
      <c r="H17" s="19" t="n">
        <v>0.336956522</v>
      </c>
      <c r="I17" s="19" t="n">
        <v>0.065217391</v>
      </c>
      <c r="J17" s="8" t="n">
        <v>2.10338832</v>
      </c>
      <c r="K17" s="16" t="n">
        <v>1465</v>
      </c>
      <c r="L17" s="8" t="n">
        <v>0</v>
      </c>
    </row>
    <row r="18">
      <c r="A18" s="8" t="inlineStr">
        <is>
          <t>CUST_017</t>
        </is>
      </c>
      <c r="B18" s="8" t="n">
        <v>91</v>
      </c>
      <c r="C18" s="16" t="n">
        <v>2037</v>
      </c>
      <c r="D18" s="16" t="n">
        <v>22.38461538</v>
      </c>
      <c r="E18" s="19" t="n">
        <v>0.274725275</v>
      </c>
      <c r="F18" s="19" t="n">
        <v>0.32967033</v>
      </c>
      <c r="G18" s="19" t="n">
        <v>0.32967033</v>
      </c>
      <c r="H18" s="19" t="n">
        <v>0.274725275</v>
      </c>
      <c r="I18" s="19" t="n">
        <v>0.065934066</v>
      </c>
      <c r="J18" s="8" t="n">
        <v>3.232177238</v>
      </c>
      <c r="K18" s="16" t="n">
        <v>1890.5</v>
      </c>
      <c r="L18" s="8" t="n">
        <v>1</v>
      </c>
    </row>
    <row r="19">
      <c r="A19" s="8" t="inlineStr">
        <is>
          <t>CUST_018</t>
        </is>
      </c>
      <c r="B19" s="8" t="n">
        <v>93</v>
      </c>
      <c r="C19" s="16" t="n">
        <v>1504</v>
      </c>
      <c r="D19" s="16" t="n">
        <v>16.17204301</v>
      </c>
      <c r="E19" s="19" t="n">
        <v>0.139784946</v>
      </c>
      <c r="F19" s="19" t="n">
        <v>0.279569892</v>
      </c>
      <c r="G19" s="19" t="n">
        <v>0.301075269</v>
      </c>
      <c r="H19" s="19" t="n">
        <v>0.387096774</v>
      </c>
      <c r="I19" s="19" t="n">
        <v>0.032258065</v>
      </c>
      <c r="J19" s="8" t="n">
        <v>1.712255291</v>
      </c>
      <c r="K19" s="16" t="n">
        <v>1720</v>
      </c>
      <c r="L19" s="8" t="n">
        <v>0</v>
      </c>
    </row>
    <row r="20">
      <c r="A20" s="8" t="inlineStr">
        <is>
          <t>CUST_019</t>
        </is>
      </c>
      <c r="B20" s="8" t="n">
        <v>103</v>
      </c>
      <c r="C20" s="16" t="n">
        <v>2010</v>
      </c>
      <c r="D20" s="16" t="n">
        <v>19.51456311</v>
      </c>
      <c r="E20" s="19" t="n">
        <v>0.213592233</v>
      </c>
      <c r="F20" s="19" t="n">
        <v>0.359223301</v>
      </c>
      <c r="G20" s="19" t="n">
        <v>0.262135922</v>
      </c>
      <c r="H20" s="19" t="n">
        <v>0.359223301</v>
      </c>
      <c r="I20" s="19" t="n">
        <v>0.019417476</v>
      </c>
      <c r="J20" s="8" t="n">
        <v>2.574643253</v>
      </c>
      <c r="K20" s="16" t="n">
        <v>1732</v>
      </c>
      <c r="L20" s="8" t="n">
        <v>0</v>
      </c>
    </row>
    <row r="21">
      <c r="A21" s="8" t="inlineStr">
        <is>
          <t>CUST_020</t>
        </is>
      </c>
      <c r="B21" s="8" t="n">
        <v>90</v>
      </c>
      <c r="C21" s="16" t="n">
        <v>2279</v>
      </c>
      <c r="D21" s="16" t="n">
        <v>25.32222222</v>
      </c>
      <c r="E21" s="19" t="n">
        <v>0.266666667</v>
      </c>
      <c r="F21" s="19" t="n">
        <v>0.322222222</v>
      </c>
      <c r="G21" s="19" t="n">
        <v>0.244444444</v>
      </c>
      <c r="H21" s="19" t="n">
        <v>0.388888889</v>
      </c>
      <c r="I21" s="19" t="n">
        <v>0.044444444</v>
      </c>
      <c r="J21" s="8" t="n">
        <v>2.276360732</v>
      </c>
      <c r="K21" s="16" t="n">
        <v>1742.5</v>
      </c>
      <c r="L21" s="8" t="n">
        <v>0</v>
      </c>
    </row>
    <row r="22">
      <c r="A22" s="8" t="inlineStr">
        <is>
          <t>CUST_021</t>
        </is>
      </c>
      <c r="B22" s="8" t="n">
        <v>76</v>
      </c>
      <c r="C22" s="16" t="n">
        <v>1758</v>
      </c>
      <c r="D22" s="16" t="n">
        <v>23.13157895</v>
      </c>
      <c r="E22" s="19" t="n">
        <v>0.302631579</v>
      </c>
      <c r="F22" s="19" t="n">
        <v>0.460526316</v>
      </c>
      <c r="G22" s="19" t="n">
        <v>0.236842105</v>
      </c>
      <c r="H22" s="19" t="n">
        <v>0.236842105</v>
      </c>
      <c r="I22" s="19" t="n">
        <v>0.065789474</v>
      </c>
      <c r="J22" s="8" t="n">
        <v>2.933608802</v>
      </c>
      <c r="K22" s="16" t="n">
        <v>1781</v>
      </c>
      <c r="L22" s="8" t="n">
        <v>1</v>
      </c>
    </row>
    <row r="23">
      <c r="A23" s="8" t="inlineStr">
        <is>
          <t>CUST_022</t>
        </is>
      </c>
      <c r="B23" s="8" t="n">
        <v>92</v>
      </c>
      <c r="C23" s="16" t="n">
        <v>2214</v>
      </c>
      <c r="D23" s="16" t="n">
        <v>24.06521739</v>
      </c>
      <c r="E23" s="19" t="n">
        <v>0.282608696</v>
      </c>
      <c r="F23" s="19" t="n">
        <v>0.282608696</v>
      </c>
      <c r="G23" s="19" t="n">
        <v>0.326086957</v>
      </c>
      <c r="H23" s="19" t="n">
        <v>0.326086957</v>
      </c>
      <c r="I23" s="19" t="n">
        <v>0.065217391</v>
      </c>
      <c r="J23" s="8" t="n">
        <v>2.570225789</v>
      </c>
      <c r="K23" s="16" t="n">
        <v>1598.5</v>
      </c>
      <c r="L23" s="8" t="n">
        <v>0</v>
      </c>
    </row>
    <row r="24">
      <c r="A24" s="8" t="inlineStr">
        <is>
          <t>CUST_023</t>
        </is>
      </c>
      <c r="B24" s="8" t="n">
        <v>77</v>
      </c>
      <c r="C24" s="16" t="n">
        <v>1755</v>
      </c>
      <c r="D24" s="16" t="n">
        <v>22.79220779</v>
      </c>
      <c r="E24" s="19" t="n">
        <v>0.25974026</v>
      </c>
      <c r="F24" s="19" t="n">
        <v>0.350649351</v>
      </c>
      <c r="G24" s="19" t="n">
        <v>0.246753247</v>
      </c>
      <c r="H24" s="19" t="n">
        <v>0.311688312</v>
      </c>
      <c r="I24" s="19" t="n">
        <v>0.090909091</v>
      </c>
      <c r="J24" s="8" t="n">
        <v>2.353269808</v>
      </c>
      <c r="K24" s="16" t="n">
        <v>1382.5</v>
      </c>
      <c r="L24" s="8" t="n">
        <v>0</v>
      </c>
    </row>
    <row r="25">
      <c r="A25" s="8" t="inlineStr">
        <is>
          <t>CUST_024</t>
        </is>
      </c>
      <c r="B25" s="8" t="n">
        <v>83</v>
      </c>
      <c r="C25" s="16" t="n">
        <v>1331.5</v>
      </c>
      <c r="D25" s="16" t="n">
        <v>16.04216867</v>
      </c>
      <c r="E25" s="19" t="n">
        <v>0.168674699</v>
      </c>
      <c r="F25" s="19" t="n">
        <v>0.337349398</v>
      </c>
      <c r="G25" s="19" t="n">
        <v>0.301204819</v>
      </c>
      <c r="H25" s="19" t="n">
        <v>0.289156627</v>
      </c>
      <c r="I25" s="19" t="n">
        <v>0.07228915700000001</v>
      </c>
      <c r="J25" s="8" t="n">
        <v>2.274696117</v>
      </c>
      <c r="K25" s="16" t="n">
        <v>1638</v>
      </c>
      <c r="L25" s="8" t="n">
        <v>0</v>
      </c>
    </row>
    <row r="26">
      <c r="A26" s="8" t="inlineStr">
        <is>
          <t>CUST_025</t>
        </is>
      </c>
      <c r="B26" s="8" t="n">
        <v>78</v>
      </c>
      <c r="C26" s="16" t="n">
        <v>1508</v>
      </c>
      <c r="D26" s="16" t="n">
        <v>19.33333333</v>
      </c>
      <c r="E26" s="19" t="n">
        <v>0.179487179</v>
      </c>
      <c r="F26" s="19" t="n">
        <v>0.371794872</v>
      </c>
      <c r="G26" s="19" t="n">
        <v>0.346153846</v>
      </c>
      <c r="H26" s="19" t="n">
        <v>0.230769231</v>
      </c>
      <c r="I26" s="19" t="n">
        <v>0.051282051</v>
      </c>
      <c r="J26" s="8" t="n">
        <v>3.630677372</v>
      </c>
      <c r="K26" s="16" t="n">
        <v>1675.5</v>
      </c>
      <c r="L26" s="8" t="n">
        <v>0</v>
      </c>
    </row>
    <row r="27">
      <c r="A27" s="8" t="inlineStr">
        <is>
          <t>CUST_026</t>
        </is>
      </c>
      <c r="B27" s="8" t="n">
        <v>88</v>
      </c>
      <c r="C27" s="16" t="n">
        <v>1791</v>
      </c>
      <c r="D27" s="16" t="n">
        <v>20.35227273</v>
      </c>
      <c r="E27" s="19" t="n">
        <v>0.261363636</v>
      </c>
      <c r="F27" s="19" t="n">
        <v>0.340909091</v>
      </c>
      <c r="G27" s="19" t="n">
        <v>0.261363636</v>
      </c>
      <c r="H27" s="19" t="n">
        <v>0.375</v>
      </c>
      <c r="I27" s="19" t="n">
        <v>0.022727273</v>
      </c>
      <c r="J27" s="8" t="n">
        <v>1.723280874</v>
      </c>
      <c r="K27" s="16" t="n">
        <v>1852</v>
      </c>
      <c r="L27" s="8" t="n">
        <v>1</v>
      </c>
    </row>
    <row r="28">
      <c r="A28" s="8" t="inlineStr">
        <is>
          <t>CUST_027</t>
        </is>
      </c>
      <c r="B28" s="8" t="n">
        <v>84</v>
      </c>
      <c r="C28" s="16" t="n">
        <v>2026.5</v>
      </c>
      <c r="D28" s="16" t="n">
        <v>24.125</v>
      </c>
      <c r="E28" s="19" t="n">
        <v>0.25</v>
      </c>
      <c r="F28" s="19" t="n">
        <v>0.25</v>
      </c>
      <c r="G28" s="19" t="n">
        <v>0.392857143</v>
      </c>
      <c r="H28" s="19" t="n">
        <v>0.321428571</v>
      </c>
      <c r="I28" s="19" t="n">
        <v>0.035714286</v>
      </c>
      <c r="J28" s="8" t="n">
        <v>2.374102701</v>
      </c>
      <c r="K28" s="16" t="n">
        <v>1253.5</v>
      </c>
      <c r="L28" s="8" t="n">
        <v>0</v>
      </c>
    </row>
    <row r="29">
      <c r="A29" s="8" t="inlineStr">
        <is>
          <t>CUST_028</t>
        </is>
      </c>
      <c r="B29" s="8" t="n">
        <v>96</v>
      </c>
      <c r="C29" s="16" t="n">
        <v>2067</v>
      </c>
      <c r="D29" s="16" t="n">
        <v>21.53125</v>
      </c>
      <c r="E29" s="19" t="n">
        <v>0.208333333</v>
      </c>
      <c r="F29" s="19" t="n">
        <v>0.302083333</v>
      </c>
      <c r="G29" s="19" t="n">
        <v>0.34375</v>
      </c>
      <c r="H29" s="19" t="n">
        <v>0.270833333</v>
      </c>
      <c r="I29" s="19" t="n">
        <v>0.083333333</v>
      </c>
      <c r="J29" s="8" t="n">
        <v>2.256304299</v>
      </c>
      <c r="K29" s="16" t="n">
        <v>1850</v>
      </c>
      <c r="L29" s="8" t="n">
        <v>1</v>
      </c>
    </row>
    <row r="30">
      <c r="A30" s="8" t="inlineStr">
        <is>
          <t>CUST_029</t>
        </is>
      </c>
      <c r="B30" s="8" t="n">
        <v>91</v>
      </c>
      <c r="C30" s="16" t="n">
        <v>1564</v>
      </c>
      <c r="D30" s="16" t="n">
        <v>17.18681319</v>
      </c>
      <c r="E30" s="19" t="n">
        <v>0.131868132</v>
      </c>
      <c r="F30" s="19" t="n">
        <v>0.406593407</v>
      </c>
      <c r="G30" s="19" t="n">
        <v>0.296703297</v>
      </c>
      <c r="H30" s="19" t="n">
        <v>0.241758242</v>
      </c>
      <c r="I30" s="19" t="n">
        <v>0.054945055</v>
      </c>
      <c r="J30" s="8" t="n">
        <v>2.539088359</v>
      </c>
      <c r="K30" s="16" t="n">
        <v>1330</v>
      </c>
      <c r="L30" s="8" t="n">
        <v>0</v>
      </c>
    </row>
    <row r="31">
      <c r="A31" s="8" t="inlineStr">
        <is>
          <t>CUST_030</t>
        </is>
      </c>
      <c r="B31" s="8" t="n">
        <v>67</v>
      </c>
      <c r="C31" s="16" t="n">
        <v>1473.5</v>
      </c>
      <c r="D31" s="16" t="n">
        <v>21.99253731</v>
      </c>
      <c r="E31" s="19" t="n">
        <v>0.194029851</v>
      </c>
      <c r="F31" s="19" t="n">
        <v>0.313432836</v>
      </c>
      <c r="G31" s="19" t="n">
        <v>0.298507463</v>
      </c>
      <c r="H31" s="19" t="n">
        <v>0.358208955</v>
      </c>
      <c r="I31" s="19" t="n">
        <v>0.029850746</v>
      </c>
      <c r="J31" s="8" t="n">
        <v>3.342789617</v>
      </c>
      <c r="K31" s="16" t="n">
        <v>1402</v>
      </c>
      <c r="L31" s="8" t="n">
        <v>0</v>
      </c>
    </row>
    <row r="32">
      <c r="A32" s="8" t="inlineStr">
        <is>
          <t>CUST_031</t>
        </is>
      </c>
      <c r="B32" s="8" t="n">
        <v>71</v>
      </c>
      <c r="C32" s="16" t="n">
        <v>1410</v>
      </c>
      <c r="D32" s="16" t="n">
        <v>19.85915493</v>
      </c>
      <c r="E32" s="19" t="n">
        <v>0.169014085</v>
      </c>
      <c r="F32" s="19" t="n">
        <v>0.38028169</v>
      </c>
      <c r="G32" s="19" t="n">
        <v>0.309859155</v>
      </c>
      <c r="H32" s="19" t="n">
        <v>0.267605634</v>
      </c>
      <c r="I32" s="19" t="n">
        <v>0.042253521</v>
      </c>
      <c r="J32" s="8" t="n">
        <v>2.234373344</v>
      </c>
      <c r="K32" s="16" t="n">
        <v>1597.5</v>
      </c>
      <c r="L32" s="8" t="n">
        <v>0</v>
      </c>
    </row>
    <row r="33">
      <c r="A33" s="8" t="inlineStr">
        <is>
          <t>CUST_032</t>
        </is>
      </c>
      <c r="B33" s="8" t="n">
        <v>85</v>
      </c>
      <c r="C33" s="16" t="n">
        <v>1826.5</v>
      </c>
      <c r="D33" s="16" t="n">
        <v>21.48823529</v>
      </c>
      <c r="E33" s="19" t="n">
        <v>0.188235294</v>
      </c>
      <c r="F33" s="19" t="n">
        <v>0.329411765</v>
      </c>
      <c r="G33" s="19" t="n">
        <v>0.329411765</v>
      </c>
      <c r="H33" s="19" t="n">
        <v>0.235294118</v>
      </c>
      <c r="I33" s="19" t="n">
        <v>0.105882353</v>
      </c>
      <c r="J33" s="8" t="n">
        <v>3.203927514</v>
      </c>
      <c r="K33" s="16" t="n">
        <v>1494</v>
      </c>
      <c r="L33" s="8" t="n">
        <v>0</v>
      </c>
    </row>
    <row r="34">
      <c r="A34" s="8" t="inlineStr">
        <is>
          <t>CUST_033</t>
        </is>
      </c>
      <c r="B34" s="8" t="n">
        <v>83</v>
      </c>
      <c r="C34" s="16" t="n">
        <v>1667.5</v>
      </c>
      <c r="D34" s="16" t="n">
        <v>20.09036145</v>
      </c>
      <c r="E34" s="19" t="n">
        <v>0.228915663</v>
      </c>
      <c r="F34" s="19" t="n">
        <v>0.253012048</v>
      </c>
      <c r="G34" s="19" t="n">
        <v>0.313253012</v>
      </c>
      <c r="H34" s="19" t="n">
        <v>0.361445783</v>
      </c>
      <c r="I34" s="19" t="n">
        <v>0.07228915700000001</v>
      </c>
      <c r="J34" s="8" t="n">
        <v>1.621353718</v>
      </c>
      <c r="K34" s="16" t="n">
        <v>1810</v>
      </c>
      <c r="L34" s="8" t="n">
        <v>1</v>
      </c>
    </row>
    <row r="35">
      <c r="A35" s="8" t="inlineStr">
        <is>
          <t>CUST_034</t>
        </is>
      </c>
      <c r="B35" s="8" t="n">
        <v>82</v>
      </c>
      <c r="C35" s="16" t="n">
        <v>1620.5</v>
      </c>
      <c r="D35" s="16" t="n">
        <v>19.76219512</v>
      </c>
      <c r="E35" s="19" t="n">
        <v>0.231707317</v>
      </c>
      <c r="F35" s="19" t="n">
        <v>0.390243902</v>
      </c>
      <c r="G35" s="19" t="n">
        <v>0.256097561</v>
      </c>
      <c r="H35" s="19" t="n">
        <v>0.317073171</v>
      </c>
      <c r="I35" s="19" t="n">
        <v>0.036585366</v>
      </c>
      <c r="J35" s="8" t="n">
        <v>3.069892901</v>
      </c>
      <c r="K35" s="16" t="n">
        <v>1536.5</v>
      </c>
      <c r="L35" s="8" t="n">
        <v>0</v>
      </c>
    </row>
    <row r="36">
      <c r="A36" s="8" t="inlineStr">
        <is>
          <t>CUST_035</t>
        </is>
      </c>
      <c r="B36" s="8" t="n">
        <v>73</v>
      </c>
      <c r="C36" s="16" t="n">
        <v>1573</v>
      </c>
      <c r="D36" s="16" t="n">
        <v>21.54794521</v>
      </c>
      <c r="E36" s="19" t="n">
        <v>0.219178082</v>
      </c>
      <c r="F36" s="19" t="n">
        <v>0.219178082</v>
      </c>
      <c r="G36" s="19" t="n">
        <v>0.410958904</v>
      </c>
      <c r="H36" s="19" t="n">
        <v>0.301369863</v>
      </c>
      <c r="I36" s="19" t="n">
        <v>0.068493151</v>
      </c>
      <c r="J36" s="8" t="n">
        <v>3.117642855</v>
      </c>
      <c r="K36" s="16" t="n">
        <v>1683</v>
      </c>
      <c r="L36" s="8" t="n">
        <v>0</v>
      </c>
    </row>
    <row r="37">
      <c r="A37" s="8" t="inlineStr">
        <is>
          <t>CUST_036</t>
        </is>
      </c>
      <c r="B37" s="8" t="n">
        <v>80</v>
      </c>
      <c r="C37" s="16" t="n">
        <v>1800</v>
      </c>
      <c r="D37" s="16" t="n">
        <v>22.5</v>
      </c>
      <c r="E37" s="19" t="n">
        <v>0.225</v>
      </c>
      <c r="F37" s="19" t="n">
        <v>0.325</v>
      </c>
      <c r="G37" s="19" t="n">
        <v>0.3625</v>
      </c>
      <c r="H37" s="19" t="n">
        <v>0.2875</v>
      </c>
      <c r="I37" s="19" t="n">
        <v>0.025</v>
      </c>
      <c r="J37" s="8" t="n">
        <v>2.605355789</v>
      </c>
      <c r="K37" s="16" t="n">
        <v>1350</v>
      </c>
      <c r="L37" s="8" t="n">
        <v>0</v>
      </c>
    </row>
    <row r="38">
      <c r="A38" s="8" t="inlineStr">
        <is>
          <t>CUST_037</t>
        </is>
      </c>
      <c r="B38" s="8" t="n">
        <v>83</v>
      </c>
      <c r="C38" s="16" t="n">
        <v>1560</v>
      </c>
      <c r="D38" s="16" t="n">
        <v>18.79518072</v>
      </c>
      <c r="E38" s="19" t="n">
        <v>0.265060241</v>
      </c>
      <c r="F38" s="19" t="n">
        <v>0.289156627</v>
      </c>
      <c r="G38" s="19" t="n">
        <v>0.385542169</v>
      </c>
      <c r="H38" s="19" t="n">
        <v>0.277108434</v>
      </c>
      <c r="I38" s="19" t="n">
        <v>0.048192771</v>
      </c>
      <c r="J38" s="8" t="n">
        <v>3.232177238</v>
      </c>
      <c r="K38" s="16" t="n">
        <v>1787</v>
      </c>
      <c r="L38" s="8" t="n">
        <v>1</v>
      </c>
    </row>
    <row r="39">
      <c r="A39" s="8" t="inlineStr">
        <is>
          <t>CUST_038</t>
        </is>
      </c>
      <c r="B39" s="8" t="n">
        <v>100</v>
      </c>
      <c r="C39" s="16" t="n">
        <v>2142</v>
      </c>
      <c r="D39" s="16" t="n">
        <v>21.42</v>
      </c>
      <c r="E39" s="19" t="n">
        <v>0.28</v>
      </c>
      <c r="F39" s="19" t="n">
        <v>0.3</v>
      </c>
      <c r="G39" s="19" t="n">
        <v>0.37</v>
      </c>
      <c r="H39" s="19" t="n">
        <v>0.3</v>
      </c>
      <c r="I39" s="19" t="n">
        <v>0.03</v>
      </c>
      <c r="J39" s="8" t="n">
        <v>3.284490644</v>
      </c>
      <c r="K39" s="16" t="n">
        <v>1213.5</v>
      </c>
      <c r="L39" s="8" t="n">
        <v>0</v>
      </c>
    </row>
    <row r="40">
      <c r="A40" s="8" t="inlineStr">
        <is>
          <t>CUST_039</t>
        </is>
      </c>
      <c r="B40" s="8" t="n">
        <v>75</v>
      </c>
      <c r="C40" s="16" t="n">
        <v>1307</v>
      </c>
      <c r="D40" s="16" t="n">
        <v>17.42666667</v>
      </c>
      <c r="E40" s="19" t="n">
        <v>0.146666667</v>
      </c>
      <c r="F40" s="19" t="n">
        <v>0.32</v>
      </c>
      <c r="G40" s="19" t="n">
        <v>0.373333333</v>
      </c>
      <c r="H40" s="19" t="n">
        <v>0.24</v>
      </c>
      <c r="I40" s="19" t="n">
        <v>0.066666667</v>
      </c>
      <c r="J40" s="8" t="n">
        <v>2.490892502</v>
      </c>
      <c r="K40" s="16" t="n">
        <v>1763.5</v>
      </c>
      <c r="L40" s="8" t="n">
        <v>1</v>
      </c>
    </row>
    <row r="41">
      <c r="A41" s="8" t="inlineStr">
        <is>
          <t>CUST_040</t>
        </is>
      </c>
      <c r="B41" s="8" t="n">
        <v>99</v>
      </c>
      <c r="C41" s="16" t="n">
        <v>1941</v>
      </c>
      <c r="D41" s="16" t="n">
        <v>19.60606061</v>
      </c>
      <c r="E41" s="19" t="n">
        <v>0.191919192</v>
      </c>
      <c r="F41" s="19" t="n">
        <v>0.353535354</v>
      </c>
      <c r="G41" s="19" t="n">
        <v>0.383838384</v>
      </c>
      <c r="H41" s="19" t="n">
        <v>0.262626263</v>
      </c>
      <c r="I41" s="19" t="n">
        <v>0</v>
      </c>
      <c r="J41" s="8" t="n">
        <v>2.562846429</v>
      </c>
      <c r="K41" s="16" t="n">
        <v>1755</v>
      </c>
      <c r="L41" s="8" t="n">
        <v>0</v>
      </c>
    </row>
    <row r="42">
      <c r="A42" s="8" t="inlineStr">
        <is>
          <t>CUST_041</t>
        </is>
      </c>
      <c r="B42" s="8" t="n">
        <v>81</v>
      </c>
      <c r="C42" s="16" t="n">
        <v>1655</v>
      </c>
      <c r="D42" s="16" t="n">
        <v>20.43209877</v>
      </c>
      <c r="E42" s="19" t="n">
        <v>0.24691358</v>
      </c>
      <c r="F42" s="19" t="n">
        <v>0.395061728</v>
      </c>
      <c r="G42" s="19" t="n">
        <v>0.209876543</v>
      </c>
      <c r="H42" s="19" t="n">
        <v>0.333333333</v>
      </c>
      <c r="I42" s="19" t="n">
        <v>0.061728395</v>
      </c>
      <c r="J42" s="8" t="n">
        <v>2.220769727</v>
      </c>
      <c r="K42" s="16" t="n">
        <v>1415</v>
      </c>
      <c r="L42" s="8" t="n">
        <v>0</v>
      </c>
    </row>
    <row r="43">
      <c r="A43" s="8" t="inlineStr">
        <is>
          <t>CUST_042</t>
        </is>
      </c>
      <c r="B43" s="8" t="n">
        <v>82</v>
      </c>
      <c r="C43" s="16" t="n">
        <v>1652.5</v>
      </c>
      <c r="D43" s="16" t="n">
        <v>20.15243902</v>
      </c>
      <c r="E43" s="19" t="n">
        <v>0.195121951</v>
      </c>
      <c r="F43" s="19" t="n">
        <v>0.329268293</v>
      </c>
      <c r="G43" s="19" t="n">
        <v>0.243902439</v>
      </c>
      <c r="H43" s="19" t="n">
        <v>0.365853659</v>
      </c>
      <c r="I43" s="19" t="n">
        <v>0.06097561</v>
      </c>
      <c r="J43" s="8" t="n">
        <v>2.79067712</v>
      </c>
      <c r="K43" s="16" t="n">
        <v>1968.5</v>
      </c>
      <c r="L43" s="8" t="n">
        <v>1</v>
      </c>
    </row>
    <row r="44">
      <c r="A44" s="8" t="inlineStr">
        <is>
          <t>CUST_043</t>
        </is>
      </c>
      <c r="B44" s="8" t="n">
        <v>88</v>
      </c>
      <c r="C44" s="16" t="n">
        <v>1728.5</v>
      </c>
      <c r="D44" s="16" t="n">
        <v>19.64204545</v>
      </c>
      <c r="E44" s="19" t="n">
        <v>0.215909091</v>
      </c>
      <c r="F44" s="19" t="n">
        <v>0.352272727</v>
      </c>
      <c r="G44" s="19" t="n">
        <v>0.340909091</v>
      </c>
      <c r="H44" s="19" t="n">
        <v>0.295454545</v>
      </c>
      <c r="I44" s="19" t="n">
        <v>0.011363636</v>
      </c>
      <c r="J44" s="8" t="n">
        <v>2.015094554</v>
      </c>
      <c r="K44" s="16" t="n">
        <v>1891</v>
      </c>
      <c r="L44" s="8" t="n">
        <v>1</v>
      </c>
    </row>
    <row r="45">
      <c r="A45" s="8" t="inlineStr">
        <is>
          <t>CUST_044</t>
        </is>
      </c>
      <c r="B45" s="8" t="n">
        <v>84</v>
      </c>
      <c r="C45" s="16" t="n">
        <v>1904.5</v>
      </c>
      <c r="D45" s="16" t="n">
        <v>22.67261905</v>
      </c>
      <c r="E45" s="19" t="n">
        <v>0.226190476</v>
      </c>
      <c r="F45" s="19" t="n">
        <v>0.273809524</v>
      </c>
      <c r="G45" s="19" t="n">
        <v>0.297619048</v>
      </c>
      <c r="H45" s="19" t="n">
        <v>0.380952381</v>
      </c>
      <c r="I45" s="19" t="n">
        <v>0.047619048</v>
      </c>
      <c r="J45" s="8" t="n">
        <v>2.374102701</v>
      </c>
      <c r="K45" s="16" t="n">
        <v>1544.5</v>
      </c>
      <c r="L45" s="8" t="n">
        <v>0</v>
      </c>
    </row>
    <row r="46">
      <c r="A46" s="8" t="inlineStr">
        <is>
          <t>CUST_045</t>
        </is>
      </c>
      <c r="B46" s="8" t="n">
        <v>79</v>
      </c>
      <c r="C46" s="16" t="n">
        <v>1639.5</v>
      </c>
      <c r="D46" s="16" t="n">
        <v>20.75316456</v>
      </c>
      <c r="E46" s="19" t="n">
        <v>0.215189873</v>
      </c>
      <c r="F46" s="19" t="n">
        <v>0.392405063</v>
      </c>
      <c r="G46" s="19" t="n">
        <v>0.291139241</v>
      </c>
      <c r="H46" s="19" t="n">
        <v>0.278481013</v>
      </c>
      <c r="I46" s="19" t="n">
        <v>0.037974684</v>
      </c>
      <c r="J46" s="8" t="n">
        <v>1.729862492</v>
      </c>
      <c r="K46" s="16" t="n">
        <v>1274</v>
      </c>
      <c r="L46" s="8" t="n">
        <v>0</v>
      </c>
    </row>
    <row r="47">
      <c r="A47" s="8" t="inlineStr">
        <is>
          <t>CUST_046</t>
        </is>
      </c>
      <c r="B47" s="8" t="n">
        <v>78</v>
      </c>
      <c r="C47" s="16" t="n">
        <v>1954.5</v>
      </c>
      <c r="D47" s="16" t="n">
        <v>25.05769231</v>
      </c>
      <c r="E47" s="19" t="n">
        <v>0.243589744</v>
      </c>
      <c r="F47" s="19" t="n">
        <v>0.320512821</v>
      </c>
      <c r="G47" s="19" t="n">
        <v>0.243589744</v>
      </c>
      <c r="H47" s="19" t="n">
        <v>0.384615385</v>
      </c>
      <c r="I47" s="19" t="n">
        <v>0.051282051</v>
      </c>
      <c r="J47" s="8" t="n">
        <v>2.8123106</v>
      </c>
      <c r="K47" s="16" t="n">
        <v>1228.5</v>
      </c>
      <c r="L47" s="8" t="n">
        <v>0</v>
      </c>
    </row>
    <row r="48">
      <c r="A48" s="8" t="inlineStr">
        <is>
          <t>CUST_047</t>
        </is>
      </c>
      <c r="B48" s="8" t="n">
        <v>80</v>
      </c>
      <c r="C48" s="16" t="n">
        <v>1309.5</v>
      </c>
      <c r="D48" s="16" t="n">
        <v>16.36875</v>
      </c>
      <c r="E48" s="19" t="n">
        <v>0.1625</v>
      </c>
      <c r="F48" s="19" t="n">
        <v>0.2125</v>
      </c>
      <c r="G48" s="19" t="n">
        <v>0.3375</v>
      </c>
      <c r="H48" s="19" t="n">
        <v>0.4</v>
      </c>
      <c r="I48" s="19" t="n">
        <v>0.05</v>
      </c>
      <c r="J48" s="8" t="n">
        <v>2.188122206</v>
      </c>
      <c r="K48" s="16" t="n">
        <v>1606</v>
      </c>
      <c r="L48" s="8" t="n">
        <v>0</v>
      </c>
    </row>
    <row r="49">
      <c r="A49" s="8" t="inlineStr">
        <is>
          <t>CUST_048</t>
        </is>
      </c>
      <c r="B49" s="8" t="n">
        <v>83</v>
      </c>
      <c r="C49" s="16" t="n">
        <v>1601</v>
      </c>
      <c r="D49" s="16" t="n">
        <v>19.28915663</v>
      </c>
      <c r="E49" s="19" t="n">
        <v>0.192771084</v>
      </c>
      <c r="F49" s="19" t="n">
        <v>0.457831325</v>
      </c>
      <c r="G49" s="19" t="n">
        <v>0.277108434</v>
      </c>
      <c r="H49" s="19" t="n">
        <v>0.253012048</v>
      </c>
      <c r="I49" s="19" t="n">
        <v>0.012048193</v>
      </c>
      <c r="J49" s="8" t="n">
        <v>2.712205856</v>
      </c>
      <c r="K49" s="16" t="n">
        <v>1739</v>
      </c>
      <c r="L49" s="8" t="n">
        <v>0</v>
      </c>
    </row>
    <row r="50">
      <c r="A50" s="8" t="inlineStr">
        <is>
          <t>CUST_049</t>
        </is>
      </c>
      <c r="B50" s="8" t="n">
        <v>93</v>
      </c>
      <c r="C50" s="16" t="n">
        <v>1734</v>
      </c>
      <c r="D50" s="16" t="n">
        <v>18.64516129</v>
      </c>
      <c r="E50" s="19" t="n">
        <v>0.204301075</v>
      </c>
      <c r="F50" s="19" t="n">
        <v>0.35483871</v>
      </c>
      <c r="G50" s="19" t="n">
        <v>0.311827957</v>
      </c>
      <c r="H50" s="19" t="n">
        <v>0.290322581</v>
      </c>
      <c r="I50" s="19" t="n">
        <v>0.043010753</v>
      </c>
      <c r="J50" s="8" t="n">
        <v>2.301185465</v>
      </c>
      <c r="K50" s="16" t="n">
        <v>1628</v>
      </c>
      <c r="L50" s="8" t="n">
        <v>0</v>
      </c>
    </row>
    <row r="51">
      <c r="A51" s="8" t="inlineStr">
        <is>
          <t>CUST_050</t>
        </is>
      </c>
      <c r="B51" s="8" t="n">
        <v>85</v>
      </c>
      <c r="C51" s="16" t="n">
        <v>1974.5</v>
      </c>
      <c r="D51" s="16" t="n">
        <v>23.22941176</v>
      </c>
      <c r="E51" s="19" t="n">
        <v>0.235294118</v>
      </c>
      <c r="F51" s="19" t="n">
        <v>0.329411765</v>
      </c>
      <c r="G51" s="19" t="n">
        <v>0.317647059</v>
      </c>
      <c r="H51" s="19" t="n">
        <v>0.270588235</v>
      </c>
      <c r="I51" s="19" t="n">
        <v>0.082352941</v>
      </c>
      <c r="J51" s="8" t="n">
        <v>2.234373344</v>
      </c>
      <c r="K51" s="16" t="n">
        <v>1372.5</v>
      </c>
      <c r="L51" s="8" t="n">
        <v>0</v>
      </c>
    </row>
    <row r="52">
      <c r="A52" s="8" t="inlineStr">
        <is>
          <t>CUST_051</t>
        </is>
      </c>
      <c r="B52" s="8" t="n">
        <v>83</v>
      </c>
      <c r="C52" s="16" t="n">
        <v>1442</v>
      </c>
      <c r="D52" s="16" t="n">
        <v>17.37349398</v>
      </c>
      <c r="E52" s="19" t="n">
        <v>0.204819277</v>
      </c>
      <c r="F52" s="19" t="n">
        <v>0.277108434</v>
      </c>
      <c r="G52" s="19" t="n">
        <v>0.34939759</v>
      </c>
      <c r="H52" s="19" t="n">
        <v>0.325301205</v>
      </c>
      <c r="I52" s="19" t="n">
        <v>0.048192771</v>
      </c>
      <c r="J52" s="8" t="n">
        <v>2.574643253</v>
      </c>
      <c r="K52" s="16" t="n">
        <v>1698.5</v>
      </c>
      <c r="L52" s="8" t="n">
        <v>0</v>
      </c>
    </row>
    <row r="53">
      <c r="A53" s="8" t="inlineStr">
        <is>
          <t>CUST_052</t>
        </is>
      </c>
      <c r="B53" s="8" t="n">
        <v>80</v>
      </c>
      <c r="C53" s="16" t="n">
        <v>1541.5</v>
      </c>
      <c r="D53" s="16" t="n">
        <v>19.26875</v>
      </c>
      <c r="E53" s="19" t="n">
        <v>0.2375</v>
      </c>
      <c r="F53" s="19" t="n">
        <v>0.3125</v>
      </c>
      <c r="G53" s="19" t="n">
        <v>0.35</v>
      </c>
      <c r="H53" s="19" t="n">
        <v>0.2875</v>
      </c>
      <c r="I53" s="19" t="n">
        <v>0.05</v>
      </c>
      <c r="J53" s="8" t="n">
        <v>3.676295896</v>
      </c>
      <c r="K53" s="16" t="n">
        <v>1521.5</v>
      </c>
      <c r="L53" s="8" t="n">
        <v>0</v>
      </c>
    </row>
    <row r="54">
      <c r="A54" s="8" t="inlineStr">
        <is>
          <t>CUST_053</t>
        </is>
      </c>
      <c r="B54" s="8" t="n">
        <v>93</v>
      </c>
      <c r="C54" s="16" t="n">
        <v>1909.5</v>
      </c>
      <c r="D54" s="16" t="n">
        <v>20.53225806</v>
      </c>
      <c r="E54" s="19" t="n">
        <v>0.23655914</v>
      </c>
      <c r="F54" s="19" t="n">
        <v>0.430107527</v>
      </c>
      <c r="G54" s="19" t="n">
        <v>0.23655914</v>
      </c>
      <c r="H54" s="19" t="n">
        <v>0.290322581</v>
      </c>
      <c r="I54" s="19" t="n">
        <v>0.043010753</v>
      </c>
      <c r="J54" s="8" t="n">
        <v>4.092676386</v>
      </c>
      <c r="K54" s="16" t="n">
        <v>1775.5</v>
      </c>
      <c r="L54" s="8" t="n">
        <v>1</v>
      </c>
    </row>
    <row r="55">
      <c r="A55" s="8" t="inlineStr">
        <is>
          <t>CUST_054</t>
        </is>
      </c>
      <c r="B55" s="8" t="n">
        <v>77</v>
      </c>
      <c r="C55" s="16" t="n">
        <v>1832.5</v>
      </c>
      <c r="D55" s="16" t="n">
        <v>23.7987013</v>
      </c>
      <c r="E55" s="19" t="n">
        <v>0.363636364</v>
      </c>
      <c r="F55" s="19" t="n">
        <v>0.285714286</v>
      </c>
      <c r="G55" s="19" t="n">
        <v>0.272727273</v>
      </c>
      <c r="H55" s="19" t="n">
        <v>0.415584416</v>
      </c>
      <c r="I55" s="19" t="n">
        <v>0.025974026</v>
      </c>
      <c r="J55" s="8" t="n">
        <v>2.274696117</v>
      </c>
      <c r="K55" s="16" t="n">
        <v>2040</v>
      </c>
      <c r="L55" s="8" t="n">
        <v>1</v>
      </c>
    </row>
    <row r="56">
      <c r="A56" s="8" t="inlineStr">
        <is>
          <t>CUST_055</t>
        </is>
      </c>
      <c r="B56" s="8" t="n">
        <v>107</v>
      </c>
      <c r="C56" s="16" t="n">
        <v>2039.5</v>
      </c>
      <c r="D56" s="16" t="n">
        <v>19.06074766</v>
      </c>
      <c r="E56" s="19" t="n">
        <v>0.186915888</v>
      </c>
      <c r="F56" s="19" t="n">
        <v>0.345794393</v>
      </c>
      <c r="G56" s="19" t="n">
        <v>0.252336449</v>
      </c>
      <c r="H56" s="19" t="n">
        <v>0.345794393</v>
      </c>
      <c r="I56" s="19" t="n">
        <v>0.056074766</v>
      </c>
      <c r="J56" s="8" t="n">
        <v>3.260182185</v>
      </c>
      <c r="K56" s="16" t="n">
        <v>1765</v>
      </c>
      <c r="L56" s="8" t="n">
        <v>1</v>
      </c>
    </row>
    <row r="57">
      <c r="A57" s="8" t="inlineStr">
        <is>
          <t>CUST_056</t>
        </is>
      </c>
      <c r="B57" s="8" t="n">
        <v>79</v>
      </c>
      <c r="C57" s="16" t="n">
        <v>1573.5</v>
      </c>
      <c r="D57" s="16" t="n">
        <v>19.91772152</v>
      </c>
      <c r="E57" s="19" t="n">
        <v>0.215189873</v>
      </c>
      <c r="F57" s="19" t="n">
        <v>0.303797468</v>
      </c>
      <c r="G57" s="19" t="n">
        <v>0.303797468</v>
      </c>
      <c r="H57" s="19" t="n">
        <v>0.367088608</v>
      </c>
      <c r="I57" s="19" t="n">
        <v>0.025316456</v>
      </c>
      <c r="J57" s="8" t="n">
        <v>3.824759846</v>
      </c>
      <c r="K57" s="16" t="n">
        <v>1740</v>
      </c>
      <c r="L57" s="8" t="n">
        <v>0</v>
      </c>
    </row>
    <row r="58">
      <c r="A58" s="8" t="inlineStr">
        <is>
          <t>CUST_057</t>
        </is>
      </c>
      <c r="B58" s="8" t="n">
        <v>89</v>
      </c>
      <c r="C58" s="16" t="n">
        <v>1902.5</v>
      </c>
      <c r="D58" s="16" t="n">
        <v>21.37640449</v>
      </c>
      <c r="E58" s="19" t="n">
        <v>0.191011236</v>
      </c>
      <c r="F58" s="19" t="n">
        <v>0.483146067</v>
      </c>
      <c r="G58" s="19" t="n">
        <v>0.247191011</v>
      </c>
      <c r="H58" s="19" t="n">
        <v>0.213483146</v>
      </c>
      <c r="I58" s="19" t="n">
        <v>0.056179775</v>
      </c>
      <c r="J58" s="8" t="n">
        <v>2.810963385</v>
      </c>
      <c r="K58" s="16" t="n">
        <v>1566.5</v>
      </c>
      <c r="L58" s="8" t="n">
        <v>0</v>
      </c>
    </row>
    <row r="59">
      <c r="A59" s="8" t="inlineStr">
        <is>
          <t>CUST_058</t>
        </is>
      </c>
      <c r="B59" s="8" t="n">
        <v>77</v>
      </c>
      <c r="C59" s="16" t="n">
        <v>1428</v>
      </c>
      <c r="D59" s="16" t="n">
        <v>18.54545455</v>
      </c>
      <c r="E59" s="19" t="n">
        <v>0.181818182</v>
      </c>
      <c r="F59" s="19" t="n">
        <v>0.376623377</v>
      </c>
      <c r="G59" s="19" t="n">
        <v>0.298701299</v>
      </c>
      <c r="H59" s="19" t="n">
        <v>0.324675325</v>
      </c>
      <c r="I59" s="19" t="n">
        <v>0</v>
      </c>
      <c r="J59" s="8" t="n">
        <v>2.678477632</v>
      </c>
      <c r="K59" s="16" t="n">
        <v>1813</v>
      </c>
      <c r="L59" s="8" t="n">
        <v>1</v>
      </c>
    </row>
    <row r="60">
      <c r="A60" s="8" t="inlineStr">
        <is>
          <t>CUST_059</t>
        </is>
      </c>
      <c r="B60" s="8" t="n">
        <v>91</v>
      </c>
      <c r="C60" s="16" t="n">
        <v>1718.5</v>
      </c>
      <c r="D60" s="16" t="n">
        <v>18.88461538</v>
      </c>
      <c r="E60" s="19" t="n">
        <v>0.164835165</v>
      </c>
      <c r="F60" s="19" t="n">
        <v>0.351648352</v>
      </c>
      <c r="G60" s="19" t="n">
        <v>0.285714286</v>
      </c>
      <c r="H60" s="19" t="n">
        <v>0.32967033</v>
      </c>
      <c r="I60" s="19" t="n">
        <v>0.032967033</v>
      </c>
      <c r="J60" s="8" t="n">
        <v>2.353269808</v>
      </c>
      <c r="K60" s="16" t="n">
        <v>2048.5</v>
      </c>
      <c r="L60" s="8" t="n">
        <v>1</v>
      </c>
    </row>
    <row r="61">
      <c r="A61" s="8" t="inlineStr">
        <is>
          <t>CUST_060</t>
        </is>
      </c>
      <c r="B61" s="8" t="n">
        <v>70</v>
      </c>
      <c r="C61" s="16" t="n">
        <v>1331.5</v>
      </c>
      <c r="D61" s="16" t="n">
        <v>19.02142857</v>
      </c>
      <c r="E61" s="19" t="n">
        <v>0.157142857</v>
      </c>
      <c r="F61" s="19" t="n">
        <v>0.371428571</v>
      </c>
      <c r="G61" s="19" t="n">
        <v>0.357142857</v>
      </c>
      <c r="H61" s="19" t="n">
        <v>0.228571429</v>
      </c>
      <c r="I61" s="19" t="n">
        <v>0.042857143</v>
      </c>
      <c r="J61" s="8" t="n">
        <v>3.157482695</v>
      </c>
      <c r="K61" s="16" t="n">
        <v>1580</v>
      </c>
      <c r="L61" s="8" t="n">
        <v>0</v>
      </c>
    </row>
    <row r="62">
      <c r="A62" s="8" t="inlineStr">
        <is>
          <t>CUST_061</t>
        </is>
      </c>
      <c r="B62" s="8" t="n">
        <v>91</v>
      </c>
      <c r="C62" s="16" t="n">
        <v>1914.5</v>
      </c>
      <c r="D62" s="16" t="n">
        <v>21.03846154</v>
      </c>
      <c r="E62" s="19" t="n">
        <v>0.21978022</v>
      </c>
      <c r="F62" s="19" t="n">
        <v>0.340659341</v>
      </c>
      <c r="G62" s="19" t="n">
        <v>0.285714286</v>
      </c>
      <c r="H62" s="19" t="n">
        <v>0.32967033</v>
      </c>
      <c r="I62" s="19" t="n">
        <v>0.043956044</v>
      </c>
      <c r="J62" s="8" t="n">
        <v>2.937479852</v>
      </c>
      <c r="K62" s="16" t="n">
        <v>1664</v>
      </c>
      <c r="L62" s="8" t="n">
        <v>0</v>
      </c>
    </row>
    <row r="63">
      <c r="A63" s="8" t="inlineStr">
        <is>
          <t>CUST_062</t>
        </is>
      </c>
      <c r="B63" s="8" t="n">
        <v>91</v>
      </c>
      <c r="C63" s="16" t="n">
        <v>1498</v>
      </c>
      <c r="D63" s="16" t="n">
        <v>16.46153846</v>
      </c>
      <c r="E63" s="19" t="n">
        <v>0.120879121</v>
      </c>
      <c r="F63" s="19" t="n">
        <v>0.318681319</v>
      </c>
      <c r="G63" s="19" t="n">
        <v>0.318681319</v>
      </c>
      <c r="H63" s="19" t="n">
        <v>0.296703297</v>
      </c>
      <c r="I63" s="19" t="n">
        <v>0.065934066</v>
      </c>
      <c r="J63" s="8" t="n">
        <v>2.968266508</v>
      </c>
      <c r="K63" s="16" t="n">
        <v>1388.5</v>
      </c>
      <c r="L63" s="8" t="n">
        <v>0</v>
      </c>
    </row>
    <row r="64">
      <c r="A64" s="8" t="inlineStr">
        <is>
          <t>CUST_063</t>
        </is>
      </c>
      <c r="B64" s="8" t="n">
        <v>89</v>
      </c>
      <c r="C64" s="16" t="n">
        <v>1733.5</v>
      </c>
      <c r="D64" s="16" t="n">
        <v>19.47752809</v>
      </c>
      <c r="E64" s="19" t="n">
        <v>0.247191011</v>
      </c>
      <c r="F64" s="19" t="n">
        <v>0.269662921</v>
      </c>
      <c r="G64" s="19" t="n">
        <v>0.280898876</v>
      </c>
      <c r="H64" s="19" t="n">
        <v>0.393258427</v>
      </c>
      <c r="I64" s="19" t="n">
        <v>0.056179775</v>
      </c>
      <c r="J64" s="8" t="n">
        <v>2.678477632</v>
      </c>
      <c r="K64" s="16" t="n">
        <v>1808</v>
      </c>
      <c r="L64" s="8" t="n">
        <v>1</v>
      </c>
    </row>
    <row r="65">
      <c r="A65" s="8" t="inlineStr">
        <is>
          <t>CUST_064</t>
        </is>
      </c>
      <c r="B65" s="8" t="n">
        <v>70</v>
      </c>
      <c r="C65" s="16" t="n">
        <v>1476</v>
      </c>
      <c r="D65" s="16" t="n">
        <v>21.08571429</v>
      </c>
      <c r="E65" s="19" t="n">
        <v>0.242857143</v>
      </c>
      <c r="F65" s="19" t="n">
        <v>0.285714286</v>
      </c>
      <c r="G65" s="19" t="n">
        <v>0.3</v>
      </c>
      <c r="H65" s="19" t="n">
        <v>0.414285714</v>
      </c>
      <c r="I65" s="19" t="n">
        <v>0</v>
      </c>
      <c r="J65" s="8" t="n">
        <v>2.480224819</v>
      </c>
      <c r="K65" s="16" t="n">
        <v>1421</v>
      </c>
      <c r="L65" s="8" t="n">
        <v>0</v>
      </c>
    </row>
    <row r="66">
      <c r="A66" s="8" t="inlineStr">
        <is>
          <t>CUST_065</t>
        </is>
      </c>
      <c r="B66" s="8" t="n">
        <v>82</v>
      </c>
      <c r="C66" s="16" t="n">
        <v>1616</v>
      </c>
      <c r="D66" s="16" t="n">
        <v>19.70731707</v>
      </c>
      <c r="E66" s="19" t="n">
        <v>0.170731707</v>
      </c>
      <c r="F66" s="19" t="n">
        <v>0.256097561</v>
      </c>
      <c r="G66" s="19" t="n">
        <v>0.353658537</v>
      </c>
      <c r="H66" s="19" t="n">
        <v>0.365853659</v>
      </c>
      <c r="I66" s="19" t="n">
        <v>0.024390244</v>
      </c>
      <c r="J66" s="8" t="n">
        <v>2.918073254</v>
      </c>
      <c r="K66" s="16" t="n">
        <v>1701</v>
      </c>
      <c r="L66" s="8" t="n">
        <v>0</v>
      </c>
    </row>
    <row r="67">
      <c r="A67" s="8" t="inlineStr">
        <is>
          <t>CUST_066</t>
        </is>
      </c>
      <c r="B67" s="8" t="n">
        <v>94</v>
      </c>
      <c r="C67" s="16" t="n">
        <v>1818.5</v>
      </c>
      <c r="D67" s="16" t="n">
        <v>19.34574468</v>
      </c>
      <c r="E67" s="19" t="n">
        <v>0.212765957</v>
      </c>
      <c r="F67" s="19" t="n">
        <v>0.212765957</v>
      </c>
      <c r="G67" s="19" t="n">
        <v>0.414893617</v>
      </c>
      <c r="H67" s="19" t="n">
        <v>0.319148936</v>
      </c>
      <c r="I67" s="19" t="n">
        <v>0.053191489</v>
      </c>
      <c r="J67" s="8" t="n">
        <v>2.757908738</v>
      </c>
      <c r="K67" s="16" t="n">
        <v>2078</v>
      </c>
      <c r="L67" s="8" t="n">
        <v>1</v>
      </c>
    </row>
    <row r="68">
      <c r="A68" s="8" t="inlineStr">
        <is>
          <t>CUST_067</t>
        </is>
      </c>
      <c r="B68" s="8" t="n">
        <v>84</v>
      </c>
      <c r="C68" s="16" t="n">
        <v>1740.5</v>
      </c>
      <c r="D68" s="16" t="n">
        <v>20.7202381</v>
      </c>
      <c r="E68" s="19" t="n">
        <v>0.202380952</v>
      </c>
      <c r="F68" s="19" t="n">
        <v>0.345238095</v>
      </c>
      <c r="G68" s="19" t="n">
        <v>0.357142857</v>
      </c>
      <c r="H68" s="19" t="n">
        <v>0.285714286</v>
      </c>
      <c r="I68" s="19" t="n">
        <v>0.011904762</v>
      </c>
      <c r="J68" s="8" t="n">
        <v>2.69679945</v>
      </c>
      <c r="K68" s="16" t="n">
        <v>1935.5</v>
      </c>
      <c r="L68" s="8" t="n">
        <v>1</v>
      </c>
    </row>
    <row r="69">
      <c r="A69" s="8" t="inlineStr">
        <is>
          <t>CUST_068</t>
        </is>
      </c>
      <c r="B69" s="8" t="n">
        <v>89</v>
      </c>
      <c r="C69" s="16" t="n">
        <v>1943.5</v>
      </c>
      <c r="D69" s="16" t="n">
        <v>21.83707865</v>
      </c>
      <c r="E69" s="19" t="n">
        <v>0.213483146</v>
      </c>
      <c r="F69" s="19" t="n">
        <v>0.292134831</v>
      </c>
      <c r="G69" s="19" t="n">
        <v>0.314606742</v>
      </c>
      <c r="H69" s="19" t="n">
        <v>0.325842697</v>
      </c>
      <c r="I69" s="19" t="n">
        <v>0.06741572999999999</v>
      </c>
      <c r="J69" s="8" t="n">
        <v>2.020725942</v>
      </c>
      <c r="K69" s="16" t="n">
        <v>1305.5</v>
      </c>
      <c r="L69" s="8" t="n">
        <v>0</v>
      </c>
    </row>
    <row r="70">
      <c r="A70" s="8" t="inlineStr">
        <is>
          <t>CUST_069</t>
        </is>
      </c>
      <c r="B70" s="8" t="n">
        <v>78</v>
      </c>
      <c r="C70" s="16" t="n">
        <v>1438.5</v>
      </c>
      <c r="D70" s="16" t="n">
        <v>18.44230769</v>
      </c>
      <c r="E70" s="19" t="n">
        <v>0.141025641</v>
      </c>
      <c r="F70" s="19" t="n">
        <v>0.333333333</v>
      </c>
      <c r="G70" s="19" t="n">
        <v>0.256410256</v>
      </c>
      <c r="H70" s="19" t="n">
        <v>0.371794872</v>
      </c>
      <c r="I70" s="19" t="n">
        <v>0.038461538</v>
      </c>
      <c r="J70" s="8" t="n">
        <v>2.430862174</v>
      </c>
      <c r="K70" s="16" t="n">
        <v>1431.5</v>
      </c>
      <c r="L70" s="8" t="n">
        <v>0</v>
      </c>
    </row>
    <row r="71">
      <c r="A71" s="8" t="inlineStr">
        <is>
          <t>CUST_070</t>
        </is>
      </c>
      <c r="B71" s="8" t="n">
        <v>83</v>
      </c>
      <c r="C71" s="16" t="n">
        <v>1618</v>
      </c>
      <c r="D71" s="16" t="n">
        <v>19.4939759</v>
      </c>
      <c r="E71" s="19" t="n">
        <v>0.180722892</v>
      </c>
      <c r="F71" s="19" t="n">
        <v>0.325301205</v>
      </c>
      <c r="G71" s="19" t="n">
        <v>0.385542169</v>
      </c>
      <c r="H71" s="19" t="n">
        <v>0.240963855</v>
      </c>
      <c r="I71" s="19" t="n">
        <v>0.048192771</v>
      </c>
      <c r="J71" s="8" t="n">
        <v>1.975225342</v>
      </c>
      <c r="K71" s="16" t="n">
        <v>1435</v>
      </c>
      <c r="L71" s="8" t="n">
        <v>0</v>
      </c>
    </row>
    <row r="72">
      <c r="A72" s="8" t="inlineStr">
        <is>
          <t>CUST_071</t>
        </is>
      </c>
      <c r="B72" s="8" t="n">
        <v>91</v>
      </c>
      <c r="C72" s="16" t="n">
        <v>1850</v>
      </c>
      <c r="D72" s="16" t="n">
        <v>20.32967033</v>
      </c>
      <c r="E72" s="19" t="n">
        <v>0.164835165</v>
      </c>
      <c r="F72" s="19" t="n">
        <v>0.351648352</v>
      </c>
      <c r="G72" s="19" t="n">
        <v>0.32967033</v>
      </c>
      <c r="H72" s="19" t="n">
        <v>0.263736264</v>
      </c>
      <c r="I72" s="19" t="n">
        <v>0.054945055</v>
      </c>
      <c r="J72" s="8" t="n">
        <v>3.232177238</v>
      </c>
      <c r="K72" s="16" t="n">
        <v>1747</v>
      </c>
      <c r="L72" s="8" t="n">
        <v>0</v>
      </c>
    </row>
    <row r="73">
      <c r="A73" s="8" t="inlineStr">
        <is>
          <t>CUST_072</t>
        </is>
      </c>
      <c r="B73" s="8" t="n">
        <v>71</v>
      </c>
      <c r="C73" s="16" t="n">
        <v>1238</v>
      </c>
      <c r="D73" s="16" t="n">
        <v>17.43661972</v>
      </c>
      <c r="E73" s="19" t="n">
        <v>0.126760563</v>
      </c>
      <c r="F73" s="19" t="n">
        <v>0.267605634</v>
      </c>
      <c r="G73" s="19" t="n">
        <v>0.323943662</v>
      </c>
      <c r="H73" s="19" t="n">
        <v>0.366197183</v>
      </c>
      <c r="I73" s="19" t="n">
        <v>0.042253521</v>
      </c>
      <c r="J73" s="8" t="n">
        <v>3.146667309</v>
      </c>
      <c r="K73" s="16" t="n">
        <v>1597.5</v>
      </c>
      <c r="L73" s="8" t="n">
        <v>0</v>
      </c>
    </row>
    <row r="74">
      <c r="A74" s="8" t="inlineStr">
        <is>
          <t>CUST_073</t>
        </is>
      </c>
      <c r="B74" s="8" t="n">
        <v>75</v>
      </c>
      <c r="C74" s="16" t="n">
        <v>1584</v>
      </c>
      <c r="D74" s="16" t="n">
        <v>21.12</v>
      </c>
      <c r="E74" s="19" t="n">
        <v>0.293333333</v>
      </c>
      <c r="F74" s="19" t="n">
        <v>0.28</v>
      </c>
      <c r="G74" s="19" t="n">
        <v>0.306666667</v>
      </c>
      <c r="H74" s="19" t="n">
        <v>0.386666667</v>
      </c>
      <c r="I74" s="19" t="n">
        <v>0.026666667</v>
      </c>
      <c r="J74" s="8" t="n">
        <v>2.490892502</v>
      </c>
      <c r="K74" s="16" t="n">
        <v>1830.5</v>
      </c>
      <c r="L74" s="8" t="n">
        <v>1</v>
      </c>
    </row>
    <row r="75">
      <c r="A75" s="8" t="inlineStr">
        <is>
          <t>CUST_074</t>
        </is>
      </c>
      <c r="B75" s="8" t="n">
        <v>102</v>
      </c>
      <c r="C75" s="16" t="n">
        <v>2251</v>
      </c>
      <c r="D75" s="16" t="n">
        <v>22.06862745</v>
      </c>
      <c r="E75" s="19" t="n">
        <v>0.284313725</v>
      </c>
      <c r="F75" s="19" t="n">
        <v>0.303921569</v>
      </c>
      <c r="G75" s="19" t="n">
        <v>0.303921569</v>
      </c>
      <c r="H75" s="19" t="n">
        <v>0.333333333</v>
      </c>
      <c r="I75" s="19" t="n">
        <v>0.058823529</v>
      </c>
      <c r="J75" s="8" t="n">
        <v>2.354878881</v>
      </c>
      <c r="K75" s="16" t="n">
        <v>1768.5</v>
      </c>
      <c r="L75" s="8" t="n">
        <v>1</v>
      </c>
    </row>
    <row r="76">
      <c r="A76" s="8" t="inlineStr">
        <is>
          <t>CUST_075</t>
        </is>
      </c>
      <c r="B76" s="8" t="n">
        <v>84</v>
      </c>
      <c r="C76" s="16" t="n">
        <v>1651.5</v>
      </c>
      <c r="D76" s="16" t="n">
        <v>19.66071429</v>
      </c>
      <c r="E76" s="19" t="n">
        <v>0.202380952</v>
      </c>
      <c r="F76" s="19" t="n">
        <v>0.285714286</v>
      </c>
      <c r="G76" s="19" t="n">
        <v>0.30952381</v>
      </c>
      <c r="H76" s="19" t="n">
        <v>0.345238095</v>
      </c>
      <c r="I76" s="19" t="n">
        <v>0.05952381</v>
      </c>
      <c r="J76" s="8" t="n">
        <v>2.174229226</v>
      </c>
      <c r="K76" s="16" t="n">
        <v>2042.5</v>
      </c>
      <c r="L76" s="8" t="n">
        <v>1</v>
      </c>
    </row>
    <row r="77">
      <c r="A77" s="8" t="inlineStr">
        <is>
          <t>CUST_076</t>
        </is>
      </c>
      <c r="B77" s="8" t="n">
        <v>81</v>
      </c>
      <c r="C77" s="16" t="n">
        <v>1776.5</v>
      </c>
      <c r="D77" s="16" t="n">
        <v>21.93209877</v>
      </c>
      <c r="E77" s="19" t="n">
        <v>0.308641975</v>
      </c>
      <c r="F77" s="19" t="n">
        <v>0.209876543</v>
      </c>
      <c r="G77" s="19" t="n">
        <v>0.358024691</v>
      </c>
      <c r="H77" s="19" t="n">
        <v>0.333333333</v>
      </c>
      <c r="I77" s="19" t="n">
        <v>0.098765432</v>
      </c>
      <c r="J77" s="8" t="n">
        <v>3.165869118</v>
      </c>
      <c r="K77" s="16" t="n">
        <v>1601</v>
      </c>
      <c r="L77" s="8" t="n">
        <v>0</v>
      </c>
    </row>
    <row r="78">
      <c r="A78" s="8" t="inlineStr">
        <is>
          <t>CUST_077</t>
        </is>
      </c>
      <c r="B78" s="8" t="n">
        <v>73</v>
      </c>
      <c r="C78" s="16" t="n">
        <v>1857.5</v>
      </c>
      <c r="D78" s="16" t="n">
        <v>25.44520548</v>
      </c>
      <c r="E78" s="19" t="n">
        <v>0.287671233</v>
      </c>
      <c r="F78" s="19" t="n">
        <v>0.260273973</v>
      </c>
      <c r="G78" s="19" t="n">
        <v>0.315068493</v>
      </c>
      <c r="H78" s="19" t="n">
        <v>0.410958904</v>
      </c>
      <c r="I78" s="19" t="n">
        <v>0.01369863</v>
      </c>
      <c r="J78" s="8" t="n">
        <v>2.678477632</v>
      </c>
      <c r="K78" s="16" t="n">
        <v>1513.5</v>
      </c>
      <c r="L78" s="8" t="n">
        <v>0</v>
      </c>
    </row>
    <row r="79">
      <c r="A79" s="8" t="inlineStr">
        <is>
          <t>CUST_078</t>
        </is>
      </c>
      <c r="B79" s="8" t="n">
        <v>72</v>
      </c>
      <c r="C79" s="16" t="n">
        <v>1365.5</v>
      </c>
      <c r="D79" s="16" t="n">
        <v>18.96527778</v>
      </c>
      <c r="E79" s="19" t="n">
        <v>0.194444444</v>
      </c>
      <c r="F79" s="19" t="n">
        <v>0.333333333</v>
      </c>
      <c r="G79" s="19" t="n">
        <v>0.263888889</v>
      </c>
      <c r="H79" s="19" t="n">
        <v>0.375</v>
      </c>
      <c r="I79" s="19" t="n">
        <v>0.027777778</v>
      </c>
      <c r="J79" s="8" t="n">
        <v>3.247376564</v>
      </c>
      <c r="K79" s="16" t="n">
        <v>1750</v>
      </c>
      <c r="L79" s="8" t="n">
        <v>0</v>
      </c>
    </row>
    <row r="80">
      <c r="A80" s="8" t="inlineStr">
        <is>
          <t>CUST_079</t>
        </is>
      </c>
      <c r="B80" s="8" t="n">
        <v>89</v>
      </c>
      <c r="C80" s="16" t="n">
        <v>2035.5</v>
      </c>
      <c r="D80" s="16" t="n">
        <v>22.87078652</v>
      </c>
      <c r="E80" s="19" t="n">
        <v>0.213483146</v>
      </c>
      <c r="F80" s="19" t="n">
        <v>0.348314607</v>
      </c>
      <c r="G80" s="19" t="n">
        <v>0.280898876</v>
      </c>
      <c r="H80" s="19" t="n">
        <v>0.303370787</v>
      </c>
      <c r="I80" s="19" t="n">
        <v>0.06741572999999999</v>
      </c>
      <c r="J80" s="8" t="n">
        <v>4.144181756</v>
      </c>
      <c r="K80" s="16" t="n">
        <v>1509.5</v>
      </c>
      <c r="L80" s="8" t="n">
        <v>0</v>
      </c>
    </row>
    <row r="81">
      <c r="A81" s="8" t="inlineStr">
        <is>
          <t>CUST_080</t>
        </is>
      </c>
      <c r="B81" s="8" t="n">
        <v>72</v>
      </c>
      <c r="C81" s="16" t="n">
        <v>1656</v>
      </c>
      <c r="D81" s="16" t="n">
        <v>23</v>
      </c>
      <c r="E81" s="19" t="n">
        <v>0.263888889</v>
      </c>
      <c r="F81" s="19" t="n">
        <v>0.388888889</v>
      </c>
      <c r="G81" s="19" t="n">
        <v>0.236111111</v>
      </c>
      <c r="H81" s="19" t="n">
        <v>0.319444444</v>
      </c>
      <c r="I81" s="19" t="n">
        <v>0.055555556</v>
      </c>
      <c r="J81" s="8" t="n">
        <v>2.593698658</v>
      </c>
      <c r="K81" s="16" t="n">
        <v>1828</v>
      </c>
      <c r="L81" s="8" t="n">
        <v>1</v>
      </c>
    </row>
    <row r="82">
      <c r="A82" s="8" t="inlineStr">
        <is>
          <t>CUST_081</t>
        </is>
      </c>
      <c r="B82" s="8" t="n">
        <v>86</v>
      </c>
      <c r="C82" s="16" t="n">
        <v>1792.5</v>
      </c>
      <c r="D82" s="16" t="n">
        <v>20.84302326</v>
      </c>
      <c r="E82" s="19" t="n">
        <v>0.220930233</v>
      </c>
      <c r="F82" s="19" t="n">
        <v>0.279069767</v>
      </c>
      <c r="G82" s="19" t="n">
        <v>0.279069767</v>
      </c>
      <c r="H82" s="19" t="n">
        <v>0.38372093</v>
      </c>
      <c r="I82" s="19" t="n">
        <v>0.058139535</v>
      </c>
      <c r="J82" s="8" t="n">
        <v>2.587850401</v>
      </c>
      <c r="K82" s="16" t="n">
        <v>1344</v>
      </c>
      <c r="L82" s="8" t="n">
        <v>0</v>
      </c>
    </row>
    <row r="83">
      <c r="A83" s="8" t="inlineStr">
        <is>
          <t>CUST_082</t>
        </is>
      </c>
      <c r="B83" s="8" t="n">
        <v>94</v>
      </c>
      <c r="C83" s="16" t="n">
        <v>1829</v>
      </c>
      <c r="D83" s="16" t="n">
        <v>19.45744681</v>
      </c>
      <c r="E83" s="19" t="n">
        <v>0.20212766</v>
      </c>
      <c r="F83" s="19" t="n">
        <v>0.308510638</v>
      </c>
      <c r="G83" s="19" t="n">
        <v>0.308510638</v>
      </c>
      <c r="H83" s="19" t="n">
        <v>0.340425532</v>
      </c>
      <c r="I83" s="19" t="n">
        <v>0.042553191</v>
      </c>
      <c r="J83" s="8" t="n">
        <v>1.94624736</v>
      </c>
      <c r="K83" s="16" t="n">
        <v>1809</v>
      </c>
      <c r="L83" s="8" t="n">
        <v>1</v>
      </c>
    </row>
    <row r="84">
      <c r="A84" s="8" t="inlineStr">
        <is>
          <t>CUST_083</t>
        </is>
      </c>
      <c r="B84" s="8" t="n">
        <v>83</v>
      </c>
      <c r="C84" s="16" t="n">
        <v>1766.5</v>
      </c>
      <c r="D84" s="16" t="n">
        <v>21.28313253</v>
      </c>
      <c r="E84" s="19" t="n">
        <v>0.289156627</v>
      </c>
      <c r="F84" s="19" t="n">
        <v>0.313253012</v>
      </c>
      <c r="G84" s="19" t="n">
        <v>0.289156627</v>
      </c>
      <c r="H84" s="19" t="n">
        <v>0.361445783</v>
      </c>
      <c r="I84" s="19" t="n">
        <v>0.036144578</v>
      </c>
      <c r="J84" s="8" t="n">
        <v>3.315482505</v>
      </c>
      <c r="K84" s="16" t="n">
        <v>1199</v>
      </c>
      <c r="L84" s="8" t="n">
        <v>0</v>
      </c>
    </row>
    <row r="85">
      <c r="A85" s="8" t="inlineStr">
        <is>
          <t>CUST_084</t>
        </is>
      </c>
      <c r="B85" s="8" t="n">
        <v>81</v>
      </c>
      <c r="C85" s="16" t="n">
        <v>1782.5</v>
      </c>
      <c r="D85" s="16" t="n">
        <v>22.00617284</v>
      </c>
      <c r="E85" s="19" t="n">
        <v>0.259259259</v>
      </c>
      <c r="F85" s="19" t="n">
        <v>0.24691358</v>
      </c>
      <c r="G85" s="19" t="n">
        <v>0.333333333</v>
      </c>
      <c r="H85" s="19" t="n">
        <v>0.382716049</v>
      </c>
      <c r="I85" s="19" t="n">
        <v>0.037037037</v>
      </c>
      <c r="J85" s="8" t="n">
        <v>1.544785952</v>
      </c>
      <c r="K85" s="16" t="n">
        <v>1472.5</v>
      </c>
      <c r="L85" s="8" t="n">
        <v>0</v>
      </c>
    </row>
    <row r="86">
      <c r="A86" s="8" t="inlineStr">
        <is>
          <t>CUST_085</t>
        </is>
      </c>
      <c r="B86" s="8" t="n">
        <v>82</v>
      </c>
      <c r="C86" s="16" t="n">
        <v>1375</v>
      </c>
      <c r="D86" s="16" t="n">
        <v>16.76829268</v>
      </c>
      <c r="E86" s="19" t="n">
        <v>0.170731707</v>
      </c>
      <c r="F86" s="19" t="n">
        <v>0.268292683</v>
      </c>
      <c r="G86" s="19" t="n">
        <v>0.365853659</v>
      </c>
      <c r="H86" s="19" t="n">
        <v>0.304878049</v>
      </c>
      <c r="I86" s="19" t="n">
        <v>0.06097561</v>
      </c>
      <c r="J86" s="8" t="n">
        <v>3.537676005</v>
      </c>
      <c r="K86" s="16" t="n">
        <v>1182</v>
      </c>
      <c r="L86" s="8" t="n">
        <v>0</v>
      </c>
    </row>
    <row r="87">
      <c r="A87" s="8" t="inlineStr">
        <is>
          <t>CUST_086</t>
        </is>
      </c>
      <c r="B87" s="8" t="n">
        <v>87</v>
      </c>
      <c r="C87" s="16" t="n">
        <v>1758.5</v>
      </c>
      <c r="D87" s="16" t="n">
        <v>20.21264368</v>
      </c>
      <c r="E87" s="19" t="n">
        <v>0.206896552</v>
      </c>
      <c r="F87" s="19" t="n">
        <v>0.229885057</v>
      </c>
      <c r="G87" s="19" t="n">
        <v>0.333333333</v>
      </c>
      <c r="H87" s="19" t="n">
        <v>0.390804598</v>
      </c>
      <c r="I87" s="19" t="n">
        <v>0.045977011</v>
      </c>
      <c r="J87" s="8" t="n">
        <v>1.764549904</v>
      </c>
      <c r="K87" s="16" t="n">
        <v>2077.5</v>
      </c>
      <c r="L87" s="8" t="n">
        <v>1</v>
      </c>
    </row>
    <row r="88">
      <c r="A88" s="8" t="inlineStr">
        <is>
          <t>CUST_087</t>
        </is>
      </c>
      <c r="B88" s="8" t="n">
        <v>103</v>
      </c>
      <c r="C88" s="16" t="n">
        <v>1721.5</v>
      </c>
      <c r="D88" s="16" t="n">
        <v>16.71359223</v>
      </c>
      <c r="E88" s="19" t="n">
        <v>0.097087379</v>
      </c>
      <c r="F88" s="19" t="n">
        <v>0.359223301</v>
      </c>
      <c r="G88" s="19" t="n">
        <v>0.349514563</v>
      </c>
      <c r="H88" s="19" t="n">
        <v>0.252427184</v>
      </c>
      <c r="I88" s="19" t="n">
        <v>0.038834951</v>
      </c>
      <c r="J88" s="8" t="n">
        <v>2.678477632</v>
      </c>
      <c r="K88" s="16" t="n">
        <v>1761</v>
      </c>
      <c r="L88" s="8" t="n">
        <v>1</v>
      </c>
    </row>
    <row r="89">
      <c r="A89" s="8" t="inlineStr">
        <is>
          <t>CUST_088</t>
        </is>
      </c>
      <c r="B89" s="8" t="n">
        <v>86</v>
      </c>
      <c r="C89" s="16" t="n">
        <v>1691</v>
      </c>
      <c r="D89" s="16" t="n">
        <v>19.6627907</v>
      </c>
      <c r="E89" s="19" t="n">
        <v>0.220930233</v>
      </c>
      <c r="F89" s="19" t="n">
        <v>0.38372093</v>
      </c>
      <c r="G89" s="19" t="n">
        <v>0.313953488</v>
      </c>
      <c r="H89" s="19" t="n">
        <v>0.279069767</v>
      </c>
      <c r="I89" s="19" t="n">
        <v>0.023255814</v>
      </c>
      <c r="J89" s="8" t="n">
        <v>2.081665999</v>
      </c>
      <c r="K89" s="16" t="n">
        <v>1576</v>
      </c>
      <c r="L89" s="8" t="n">
        <v>0</v>
      </c>
    </row>
    <row r="90">
      <c r="A90" s="8" t="inlineStr">
        <is>
          <t>CUST_089</t>
        </is>
      </c>
      <c r="B90" s="8" t="n">
        <v>90</v>
      </c>
      <c r="C90" s="16" t="n">
        <v>2229.5</v>
      </c>
      <c r="D90" s="16" t="n">
        <v>24.77222222</v>
      </c>
      <c r="E90" s="19" t="n">
        <v>0.244444444</v>
      </c>
      <c r="F90" s="19" t="n">
        <v>0.4</v>
      </c>
      <c r="G90" s="19" t="n">
        <v>0.288888889</v>
      </c>
      <c r="H90" s="19" t="n">
        <v>0.277777778</v>
      </c>
      <c r="I90" s="19" t="n">
        <v>0.033333333</v>
      </c>
      <c r="J90" s="8" t="n">
        <v>3.397860289</v>
      </c>
      <c r="K90" s="16" t="n">
        <v>1839</v>
      </c>
      <c r="L90" s="8" t="n">
        <v>1</v>
      </c>
    </row>
    <row r="91">
      <c r="A91" s="8" t="inlineStr">
        <is>
          <t>CUST_090</t>
        </is>
      </c>
      <c r="B91" s="8" t="n">
        <v>93</v>
      </c>
      <c r="C91" s="16" t="n">
        <v>1617</v>
      </c>
      <c r="D91" s="16" t="n">
        <v>17.38709677</v>
      </c>
      <c r="E91" s="19" t="n">
        <v>0.129032258</v>
      </c>
      <c r="F91" s="19" t="n">
        <v>0.322580645</v>
      </c>
      <c r="G91" s="19" t="n">
        <v>0.279569892</v>
      </c>
      <c r="H91" s="19" t="n">
        <v>0.301075269</v>
      </c>
      <c r="I91" s="19" t="n">
        <v>0.09677419399999999</v>
      </c>
      <c r="J91" s="8" t="n">
        <v>3.744693215</v>
      </c>
      <c r="K91" s="16" t="n">
        <v>1642.5</v>
      </c>
      <c r="L91" s="8" t="n">
        <v>0</v>
      </c>
    </row>
    <row r="92">
      <c r="A92" s="8" t="inlineStr">
        <is>
          <t>CUST_091</t>
        </is>
      </c>
      <c r="B92" s="8" t="n">
        <v>88</v>
      </c>
      <c r="C92" s="16" t="n">
        <v>1598.5</v>
      </c>
      <c r="D92" s="16" t="n">
        <v>18.16477273</v>
      </c>
      <c r="E92" s="19" t="n">
        <v>0.170454545</v>
      </c>
      <c r="F92" s="19" t="n">
        <v>0.318181818</v>
      </c>
      <c r="G92" s="19" t="n">
        <v>0.170454545</v>
      </c>
      <c r="H92" s="19" t="n">
        <v>0.443181818</v>
      </c>
      <c r="I92" s="19" t="n">
        <v>0.06818181800000001</v>
      </c>
      <c r="J92" s="8" t="n">
        <v>2.774341309</v>
      </c>
      <c r="K92" s="16" t="n">
        <v>1802.5</v>
      </c>
      <c r="L92" s="8" t="n">
        <v>1</v>
      </c>
    </row>
    <row r="93">
      <c r="A93" s="8" t="inlineStr">
        <is>
          <t>CUST_092</t>
        </is>
      </c>
      <c r="B93" s="8" t="n">
        <v>85</v>
      </c>
      <c r="C93" s="16" t="n">
        <v>1480.5</v>
      </c>
      <c r="D93" s="16" t="n">
        <v>17.41764706</v>
      </c>
      <c r="E93" s="19" t="n">
        <v>0.141176471</v>
      </c>
      <c r="F93" s="19" t="n">
        <v>0.235294118</v>
      </c>
      <c r="G93" s="19" t="n">
        <v>0.294117647</v>
      </c>
      <c r="H93" s="19" t="n">
        <v>0.411764706</v>
      </c>
      <c r="I93" s="19" t="n">
        <v>0.058823529</v>
      </c>
      <c r="J93" s="8" t="n">
        <v>2.108783938</v>
      </c>
      <c r="K93" s="16" t="n">
        <v>1673.5</v>
      </c>
      <c r="L93" s="8" t="n">
        <v>0</v>
      </c>
    </row>
    <row r="94">
      <c r="A94" s="8" t="inlineStr">
        <is>
          <t>CUST_093</t>
        </is>
      </c>
      <c r="B94" s="8" t="n">
        <v>96</v>
      </c>
      <c r="C94" s="16" t="n">
        <v>2131</v>
      </c>
      <c r="D94" s="16" t="n">
        <v>22.19791667</v>
      </c>
      <c r="E94" s="19" t="n">
        <v>0.1875</v>
      </c>
      <c r="F94" s="19" t="n">
        <v>0.291666667</v>
      </c>
      <c r="G94" s="19" t="n">
        <v>0.385416667</v>
      </c>
      <c r="H94" s="19" t="n">
        <v>0.270833333</v>
      </c>
      <c r="I94" s="19" t="n">
        <v>0.052083333</v>
      </c>
      <c r="J94" s="8" t="n">
        <v>2.449489743</v>
      </c>
      <c r="K94" s="16" t="n">
        <v>1836</v>
      </c>
      <c r="L94" s="8" t="n">
        <v>1</v>
      </c>
    </row>
    <row r="95">
      <c r="A95" s="8" t="inlineStr">
        <is>
          <t>CUST_094</t>
        </is>
      </c>
      <c r="B95" s="8" t="n">
        <v>80</v>
      </c>
      <c r="C95" s="16" t="n">
        <v>1496</v>
      </c>
      <c r="D95" s="16" t="n">
        <v>18.7</v>
      </c>
      <c r="E95" s="19" t="n">
        <v>0.2125</v>
      </c>
      <c r="F95" s="19" t="n">
        <v>0.425</v>
      </c>
      <c r="G95" s="19" t="n">
        <v>0.3125</v>
      </c>
      <c r="H95" s="19" t="n">
        <v>0.2</v>
      </c>
      <c r="I95" s="19" t="n">
        <v>0.0625</v>
      </c>
      <c r="J95" s="8" t="n">
        <v>2.14617348</v>
      </c>
      <c r="K95" s="16" t="n">
        <v>1496</v>
      </c>
      <c r="L95" s="8" t="n">
        <v>0</v>
      </c>
    </row>
    <row r="96">
      <c r="A96" s="8" t="inlineStr">
        <is>
          <t>CUST_095</t>
        </is>
      </c>
      <c r="B96" s="8" t="n">
        <v>73</v>
      </c>
      <c r="C96" s="16" t="n">
        <v>1480</v>
      </c>
      <c r="D96" s="16" t="n">
        <v>20.2739726</v>
      </c>
      <c r="E96" s="19" t="n">
        <v>0.150684932</v>
      </c>
      <c r="F96" s="19" t="n">
        <v>0.301369863</v>
      </c>
      <c r="G96" s="19" t="n">
        <v>0.397260274</v>
      </c>
      <c r="H96" s="19" t="n">
        <v>0.260273973</v>
      </c>
      <c r="I96" s="19" t="n">
        <v>0.04109589</v>
      </c>
      <c r="J96" s="8" t="n">
        <v>2.539088359</v>
      </c>
      <c r="K96" s="16" t="n">
        <v>1642.5</v>
      </c>
      <c r="L96" s="8" t="n">
        <v>0</v>
      </c>
    </row>
    <row r="97">
      <c r="A97" s="8" t="inlineStr">
        <is>
          <t>CUST_096</t>
        </is>
      </c>
      <c r="B97" s="8" t="n">
        <v>102</v>
      </c>
      <c r="C97" s="16" t="n">
        <v>1925.5</v>
      </c>
      <c r="D97" s="16" t="n">
        <v>18.87745098</v>
      </c>
      <c r="E97" s="19" t="n">
        <v>0.18627451</v>
      </c>
      <c r="F97" s="19" t="n">
        <v>0.323529412</v>
      </c>
      <c r="G97" s="19" t="n">
        <v>0.245098039</v>
      </c>
      <c r="H97" s="19" t="n">
        <v>0.37254902</v>
      </c>
      <c r="I97" s="19" t="n">
        <v>0.058823529</v>
      </c>
      <c r="J97" s="8" t="n">
        <v>2.153221688</v>
      </c>
      <c r="K97" s="16" t="n">
        <v>1605</v>
      </c>
      <c r="L97" s="8" t="n">
        <v>0</v>
      </c>
    </row>
    <row r="98">
      <c r="A98" s="8" t="inlineStr">
        <is>
          <t>CUST_097</t>
        </is>
      </c>
      <c r="B98" s="8" t="n">
        <v>99</v>
      </c>
      <c r="C98" s="16" t="n">
        <v>2097</v>
      </c>
      <c r="D98" s="16" t="n">
        <v>21.18181818</v>
      </c>
      <c r="E98" s="19" t="n">
        <v>0.191919192</v>
      </c>
      <c r="F98" s="19" t="n">
        <v>0.343434343</v>
      </c>
      <c r="G98" s="19" t="n">
        <v>0.292929293</v>
      </c>
      <c r="H98" s="19" t="n">
        <v>0.313131313</v>
      </c>
      <c r="I98" s="19" t="n">
        <v>0.050505051</v>
      </c>
      <c r="J98" s="8" t="n">
        <v>2.527125568</v>
      </c>
      <c r="K98" s="16" t="n">
        <v>1449.5</v>
      </c>
      <c r="L98" s="8" t="n">
        <v>0</v>
      </c>
    </row>
    <row r="99">
      <c r="A99" s="8" t="inlineStr">
        <is>
          <t>CUST_098</t>
        </is>
      </c>
      <c r="B99" s="8" t="n">
        <v>88</v>
      </c>
      <c r="C99" s="16" t="n">
        <v>1517.5</v>
      </c>
      <c r="D99" s="16" t="n">
        <v>17.24431818</v>
      </c>
      <c r="E99" s="19" t="n">
        <v>0.181818182</v>
      </c>
      <c r="F99" s="19" t="n">
        <v>0.25</v>
      </c>
      <c r="G99" s="19" t="n">
        <v>0.329545455</v>
      </c>
      <c r="H99" s="19" t="n">
        <v>0.363636364</v>
      </c>
      <c r="I99" s="19" t="n">
        <v>0.056818182</v>
      </c>
      <c r="J99" s="8" t="n">
        <v>2.570225789</v>
      </c>
      <c r="K99" s="16" t="n">
        <v>1877</v>
      </c>
      <c r="L99" s="8" t="n">
        <v>1</v>
      </c>
    </row>
    <row r="100">
      <c r="A100" s="8" t="inlineStr">
        <is>
          <t>CUST_099</t>
        </is>
      </c>
      <c r="B100" s="8" t="n">
        <v>72</v>
      </c>
      <c r="C100" s="16" t="n">
        <v>1602.5</v>
      </c>
      <c r="D100" s="16" t="n">
        <v>22.25694444</v>
      </c>
      <c r="E100" s="19" t="n">
        <v>0.25</v>
      </c>
      <c r="F100" s="19" t="n">
        <v>0.375</v>
      </c>
      <c r="G100" s="19" t="n">
        <v>0.291666667</v>
      </c>
      <c r="H100" s="19" t="n">
        <v>0.305555556</v>
      </c>
      <c r="I100" s="19" t="n">
        <v>0.027777778</v>
      </c>
      <c r="J100" s="8" t="n">
        <v>1.53741223</v>
      </c>
      <c r="K100" s="16" t="n">
        <v>1618</v>
      </c>
      <c r="L100" s="8" t="n">
        <v>0</v>
      </c>
    </row>
    <row r="101">
      <c r="A101" s="8" t="inlineStr">
        <is>
          <t>CUST_100</t>
        </is>
      </c>
      <c r="B101" s="8" t="n">
        <v>97</v>
      </c>
      <c r="C101" s="16" t="n">
        <v>1888</v>
      </c>
      <c r="D101" s="16" t="n">
        <v>19.46391753</v>
      </c>
      <c r="E101" s="19" t="n">
        <v>0.18556701</v>
      </c>
      <c r="F101" s="19" t="n">
        <v>0.329896907</v>
      </c>
      <c r="G101" s="19" t="n">
        <v>0.298969072</v>
      </c>
      <c r="H101" s="19" t="n">
        <v>0.309278351</v>
      </c>
      <c r="I101" s="19" t="n">
        <v>0.06185567</v>
      </c>
      <c r="J101" s="8" t="n">
        <v>3.800916955</v>
      </c>
      <c r="K101" s="16" t="n">
        <v>1703.5</v>
      </c>
      <c r="L101" s="8" t="n">
        <v>0</v>
      </c>
    </row>
  </sheetData>
  <autoFilter ref="A1:L101"/>
  <conditionalFormatting sqref="K2:K10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Customer</t>
        </is>
      </c>
      <c r="B1" s="20" t="inlineStr">
        <is>
          <t>Revenue 2022</t>
        </is>
      </c>
      <c r="C1" s="20" t="inlineStr">
        <is>
          <t>Revenue 2023</t>
        </is>
      </c>
      <c r="E1" t="inlineStr">
        <is>
          <t>Segment</t>
        </is>
      </c>
      <c r="F1" t="inlineStr">
        <is>
          <t>Revenue 2022</t>
        </is>
      </c>
      <c r="G1" t="inlineStr">
        <is>
          <t>Revenue 2023</t>
        </is>
      </c>
      <c r="I1" t="inlineStr">
        <is>
          <t>Payment Method</t>
        </is>
      </c>
      <c r="J1" t="inlineStr">
        <is>
          <t>Share</t>
        </is>
      </c>
      <c r="L1" t="inlineStr">
        <is>
          <t>Main Dish Share</t>
        </is>
      </c>
      <c r="M1" t="inlineStr">
        <is>
          <t>Customers</t>
        </is>
      </c>
      <c r="O1" t="inlineStr">
        <is>
          <t>Metric</t>
        </is>
      </c>
      <c r="P1" t="inlineStr">
        <is>
          <t>2022</t>
        </is>
      </c>
      <c r="Q1" t="inlineStr">
        <is>
          <t>2023</t>
        </is>
      </c>
    </row>
    <row r="2">
      <c r="A2" t="inlineStr">
        <is>
          <t>CUST_066</t>
        </is>
      </c>
      <c r="B2" s="21" t="n">
        <v>1818.5</v>
      </c>
      <c r="C2" s="21" t="n">
        <v>2078</v>
      </c>
      <c r="E2" t="inlineStr">
        <is>
          <t>High Value 2023</t>
        </is>
      </c>
      <c r="F2" s="21" t="n">
        <v>52776.5</v>
      </c>
      <c r="G2" s="21" t="n">
        <v>55956</v>
      </c>
      <c r="I2" t="inlineStr">
        <is>
          <t>Cash</t>
        </is>
      </c>
      <c r="J2" s="22" t="n">
        <v>0.3211292436299999</v>
      </c>
      <c r="L2" t="inlineStr">
        <is>
          <t>0–24%</t>
        </is>
      </c>
      <c r="M2" t="n">
        <v>81</v>
      </c>
      <c r="O2" t="inlineStr">
        <is>
          <t>Revenue</t>
        </is>
      </c>
      <c r="P2" t="n">
        <v>169439</v>
      </c>
      <c r="Q2" t="n">
        <v>162420</v>
      </c>
    </row>
    <row r="3">
      <c r="A3" t="inlineStr">
        <is>
          <t>CUST_086</t>
        </is>
      </c>
      <c r="B3" s="21" t="n">
        <v>1758.5</v>
      </c>
      <c r="C3" s="21" t="n">
        <v>2077.5</v>
      </c>
      <c r="E3" t="inlineStr">
        <is>
          <t>Other</t>
        </is>
      </c>
      <c r="F3" s="21" t="n">
        <v>116662.5</v>
      </c>
      <c r="G3" s="21" t="n">
        <v>106464</v>
      </c>
      <c r="I3" t="inlineStr">
        <is>
          <t>Credit Card</t>
        </is>
      </c>
      <c r="J3" s="22" t="n">
        <v>0.3138625034400001</v>
      </c>
      <c r="L3" t="inlineStr">
        <is>
          <t>25–49%</t>
        </is>
      </c>
      <c r="M3" t="n">
        <v>19</v>
      </c>
    </row>
    <row r="4">
      <c r="A4" t="inlineStr">
        <is>
          <t>CUST_059</t>
        </is>
      </c>
      <c r="B4" s="21" t="n">
        <v>1718.5</v>
      </c>
      <c r="C4" s="21" t="n">
        <v>2048.5</v>
      </c>
      <c r="I4" t="inlineStr">
        <is>
          <t>Digital Wallet</t>
        </is>
      </c>
      <c r="J4" s="22" t="n">
        <v>0.31766598056</v>
      </c>
      <c r="L4" t="inlineStr">
        <is>
          <t>50–74%</t>
        </is>
      </c>
      <c r="M4" t="n">
        <v>0</v>
      </c>
    </row>
    <row r="5">
      <c r="A5" t="inlineStr">
        <is>
          <t>CUST_075</t>
        </is>
      </c>
      <c r="B5" s="21" t="n">
        <v>1651.5</v>
      </c>
      <c r="C5" s="21" t="n">
        <v>2042.5</v>
      </c>
      <c r="I5" t="inlineStr">
        <is>
          <t>Unknown</t>
        </is>
      </c>
      <c r="J5" s="22" t="n">
        <v>0.04734227249</v>
      </c>
      <c r="L5" t="inlineStr">
        <is>
          <t>75–100%</t>
        </is>
      </c>
      <c r="M5" t="n">
        <v>0</v>
      </c>
    </row>
    <row r="6">
      <c r="A6" t="inlineStr">
        <is>
          <t>CUST_054</t>
        </is>
      </c>
      <c r="B6" s="21" t="n">
        <v>1832.5</v>
      </c>
      <c r="C6" s="21" t="n">
        <v>2040</v>
      </c>
    </row>
    <row r="7">
      <c r="A7" t="inlineStr">
        <is>
          <t>CUST_042</t>
        </is>
      </c>
      <c r="B7" s="21" t="n">
        <v>1652.5</v>
      </c>
      <c r="C7" s="21" t="n">
        <v>1968.5</v>
      </c>
    </row>
    <row r="8">
      <c r="A8" t="inlineStr">
        <is>
          <t>CUST_067</t>
        </is>
      </c>
      <c r="B8" s="21" t="n">
        <v>1740.5</v>
      </c>
      <c r="C8" s="21" t="n">
        <v>1935.5</v>
      </c>
    </row>
    <row r="9">
      <c r="A9" t="inlineStr">
        <is>
          <t>CUST_043</t>
        </is>
      </c>
      <c r="B9" s="21" t="n">
        <v>1728.5</v>
      </c>
      <c r="C9" s="21" t="n">
        <v>1891</v>
      </c>
    </row>
    <row r="10">
      <c r="A10" t="inlineStr">
        <is>
          <t>CUST_017</t>
        </is>
      </c>
      <c r="B10" s="21" t="n">
        <v>2037</v>
      </c>
      <c r="C10" s="21" t="n">
        <v>1890.5</v>
      </c>
    </row>
    <row r="11">
      <c r="A11" t="inlineStr">
        <is>
          <t>CUST_098</t>
        </is>
      </c>
      <c r="B11" s="21" t="n">
        <v>1517.5</v>
      </c>
      <c r="C11" s="21" t="n">
        <v>1877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3" t="inlineStr">
        <is>
          <t>STAKEHOLDER REPORT — RESTAURANT ORDER &amp; CUSTOMER ANALYSIS</t>
        </is>
      </c>
    </row>
    <row r="2"/>
    <row r="4">
      <c r="A4" s="24" t="inlineStr">
        <is>
          <t>Executive summary</t>
        </is>
      </c>
    </row>
    <row r="5" ht="42" customHeight="1">
      <c r="A5" s="25" t="inlineStr">
        <is>
          <t>The presentation reports 100 customers, 16,658 orders and approximately $332K revenue for Jan 2022–Dec 2023.</t>
        </is>
      </c>
    </row>
    <row r="6" ht="42" customHeight="1">
      <c r="A6" s="25" t="inlineStr">
        <is>
          <t>Main Dishes represent 47% of revenue, while Grilled Chicken, Pasta Alfredo and Steak are the three leading dishes.</t>
        </is>
      </c>
    </row>
    <row r="7" ht="42" customHeight="1">
      <c r="A7" s="25" t="inlineStr">
        <is>
          <t>Customer value is not reliably predictable from first-year order history: 2022 vs 2023 revenue correlation is 0.10 and the best tested model achieved ROC-AUC 0.55.</t>
        </is>
      </c>
    </row>
    <row r="8" ht="42" customHeight="1">
      <c r="A8" s="25" t="inlineStr">
        <is>
          <t>The recommended path is to protect proven menu winners, investigate the flat revenue trend, and capture richer customer-level information before predictive targeting.</t>
        </is>
      </c>
    </row>
    <row r="10">
      <c r="A10" s="24" t="inlineStr">
        <is>
          <t>Dashboard features</t>
        </is>
      </c>
    </row>
    <row r="11">
      <c r="A11" s="26" t="inlineStr">
        <is>
          <t>Dropdown filters: Customer, Value Segment, and Metric Year.</t>
        </is>
      </c>
    </row>
    <row r="12">
      <c r="A12" s="26" t="inlineStr">
        <is>
          <t>KPI cards: customers, selected-year revenue, selected-year orders, average order value, and 2022→2023 correlation.</t>
        </is>
      </c>
    </row>
    <row r="13">
      <c r="A13" s="26" t="inlineStr">
        <is>
          <t>Charts: Top 10 customers, revenue by value segment, payment-method mix, and Main Dish share distribution.</t>
        </is>
      </c>
    </row>
    <row r="14">
      <c r="A14" s="26" t="inlineStr">
        <is>
          <t>Customer detail: selected customer's orders, revenue in both years, and high-value status.</t>
        </is>
      </c>
    </row>
    <row r="15">
      <c r="A15" s="26" t="inlineStr">
        <is>
          <t>Decision panel: stakeholder actions and limitations from the presentation.</t>
        </is>
      </c>
    </row>
    <row r="18">
      <c r="A18" s="24" t="inlineStr">
        <is>
          <t>Important data limitation</t>
        </is>
      </c>
    </row>
    <row r="19">
      <c r="A19" s="27" t="inlineStr">
        <is>
          <t>The uploaded customer_features.csv contains customer-level features, not the original monthly order table or item/category transaction table. Therefore, the dashboard charts use exact customer-level data from the CSV. The 47% Main Dish share, top-dish revenue, monthly revenue range, and model results are retained as presentation-derived stakeholder context rather than being fabricated or recomputed from unavailable rows.</t>
        </is>
      </c>
    </row>
    <row r="20"/>
    <row r="21"/>
  </sheetData>
  <mergeCells count="12">
    <mergeCell ref="A12:H12"/>
    <mergeCell ref="A4:H4"/>
    <mergeCell ref="A15:H15"/>
    <mergeCell ref="A7:H7"/>
    <mergeCell ref="A19:H21"/>
    <mergeCell ref="A13:H13"/>
    <mergeCell ref="A11:H11"/>
    <mergeCell ref="A14:H14"/>
    <mergeCell ref="A5:H5"/>
    <mergeCell ref="A1:H2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00" customWidth="1" min="5" max="5"/>
  </cols>
  <sheetData>
    <row r="1">
      <c r="A1" t="inlineStr">
        <is>
          <t>Customer List</t>
        </is>
      </c>
      <c r="B1" t="inlineStr">
        <is>
          <t>Value Segment</t>
        </is>
      </c>
      <c r="C1" t="inlineStr">
        <is>
          <t>Metric Year</t>
        </is>
      </c>
      <c r="E1" t="inlineStr">
        <is>
          <t>Source notes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2022</t>
        </is>
      </c>
      <c r="E2" t="inlineStr">
        <is>
          <t>The presentation reports 47% of revenue from Main Dishes and approximately $332K total revenue; exact monthly/category rows are not present in customer_features.csv.</t>
        </is>
      </c>
    </row>
    <row r="3">
      <c r="A3" t="inlineStr">
        <is>
          <t>CUST_001</t>
        </is>
      </c>
      <c r="B3" t="inlineStr">
        <is>
          <t>High Value 2023</t>
        </is>
      </c>
      <c r="C3" t="inlineStr">
        <is>
          <t>2023</t>
        </is>
      </c>
      <c r="E3" t="inlineStr">
        <is>
          <t>Dashboard charts are therefore based on customer-level data where exact rows are available.</t>
        </is>
      </c>
    </row>
    <row r="4">
      <c r="A4" t="inlineStr">
        <is>
          <t>CUST_002</t>
        </is>
      </c>
      <c r="B4" t="inlineStr">
        <is>
          <t>Other</t>
        </is>
      </c>
    </row>
    <row r="5">
      <c r="A5" t="inlineStr">
        <is>
          <t>CUST_003</t>
        </is>
      </c>
    </row>
    <row r="6">
      <c r="A6" t="inlineStr">
        <is>
          <t>CUST_004</t>
        </is>
      </c>
    </row>
    <row r="7">
      <c r="A7" t="inlineStr">
        <is>
          <t>CUST_005</t>
        </is>
      </c>
    </row>
    <row r="8">
      <c r="A8" t="inlineStr">
        <is>
          <t>CUST_006</t>
        </is>
      </c>
    </row>
    <row r="9">
      <c r="A9" t="inlineStr">
        <is>
          <t>CUST_007</t>
        </is>
      </c>
    </row>
    <row r="10">
      <c r="A10" t="inlineStr">
        <is>
          <t>CUST_008</t>
        </is>
      </c>
    </row>
    <row r="11">
      <c r="A11" t="inlineStr">
        <is>
          <t>CUST_009</t>
        </is>
      </c>
    </row>
    <row r="12">
      <c r="A12" t="inlineStr">
        <is>
          <t>CUST_010</t>
        </is>
      </c>
    </row>
    <row r="13">
      <c r="A13" t="inlineStr">
        <is>
          <t>CUST_011</t>
        </is>
      </c>
    </row>
    <row r="14">
      <c r="A14" t="inlineStr">
        <is>
          <t>CUST_012</t>
        </is>
      </c>
    </row>
    <row r="15">
      <c r="A15" t="inlineStr">
        <is>
          <t>CUST_013</t>
        </is>
      </c>
    </row>
    <row r="16">
      <c r="A16" t="inlineStr">
        <is>
          <t>CUST_014</t>
        </is>
      </c>
    </row>
    <row r="17">
      <c r="A17" t="inlineStr">
        <is>
          <t>CUST_015</t>
        </is>
      </c>
    </row>
    <row r="18">
      <c r="A18" t="inlineStr">
        <is>
          <t>CUST_016</t>
        </is>
      </c>
    </row>
    <row r="19">
      <c r="A19" t="inlineStr">
        <is>
          <t>CUST_017</t>
        </is>
      </c>
    </row>
    <row r="20">
      <c r="A20" t="inlineStr">
        <is>
          <t>CUST_018</t>
        </is>
      </c>
    </row>
    <row r="21">
      <c r="A21" t="inlineStr">
        <is>
          <t>CUST_019</t>
        </is>
      </c>
    </row>
    <row r="22">
      <c r="A22" t="inlineStr">
        <is>
          <t>CUST_020</t>
        </is>
      </c>
    </row>
    <row r="23">
      <c r="A23" t="inlineStr">
        <is>
          <t>CUST_021</t>
        </is>
      </c>
    </row>
    <row r="24">
      <c r="A24" t="inlineStr">
        <is>
          <t>CUST_022</t>
        </is>
      </c>
    </row>
    <row r="25">
      <c r="A25" t="inlineStr">
        <is>
          <t>CUST_023</t>
        </is>
      </c>
    </row>
    <row r="26">
      <c r="A26" t="inlineStr">
        <is>
          <t>CUST_024</t>
        </is>
      </c>
    </row>
    <row r="27">
      <c r="A27" t="inlineStr">
        <is>
          <t>CUST_025</t>
        </is>
      </c>
    </row>
    <row r="28">
      <c r="A28" t="inlineStr">
        <is>
          <t>CUST_026</t>
        </is>
      </c>
    </row>
    <row r="29">
      <c r="A29" t="inlineStr">
        <is>
          <t>CUST_027</t>
        </is>
      </c>
    </row>
    <row r="30">
      <c r="A30" t="inlineStr">
        <is>
          <t>CUST_028</t>
        </is>
      </c>
    </row>
    <row r="31">
      <c r="A31" t="inlineStr">
        <is>
          <t>CUST_029</t>
        </is>
      </c>
    </row>
    <row r="32">
      <c r="A32" t="inlineStr">
        <is>
          <t>CUST_030</t>
        </is>
      </c>
    </row>
    <row r="33">
      <c r="A33" t="inlineStr">
        <is>
          <t>CUST_031</t>
        </is>
      </c>
    </row>
    <row r="34">
      <c r="A34" t="inlineStr">
        <is>
          <t>CUST_032</t>
        </is>
      </c>
    </row>
    <row r="35">
      <c r="A35" t="inlineStr">
        <is>
          <t>CUST_033</t>
        </is>
      </c>
    </row>
    <row r="36">
      <c r="A36" t="inlineStr">
        <is>
          <t>CUST_034</t>
        </is>
      </c>
    </row>
    <row r="37">
      <c r="A37" t="inlineStr">
        <is>
          <t>CUST_035</t>
        </is>
      </c>
    </row>
    <row r="38">
      <c r="A38" t="inlineStr">
        <is>
          <t>CUST_036</t>
        </is>
      </c>
    </row>
    <row r="39">
      <c r="A39" t="inlineStr">
        <is>
          <t>CUST_037</t>
        </is>
      </c>
    </row>
    <row r="40">
      <c r="A40" t="inlineStr">
        <is>
          <t>CUST_038</t>
        </is>
      </c>
    </row>
    <row r="41">
      <c r="A41" t="inlineStr">
        <is>
          <t>CUST_039</t>
        </is>
      </c>
    </row>
    <row r="42">
      <c r="A42" t="inlineStr">
        <is>
          <t>CUST_040</t>
        </is>
      </c>
    </row>
    <row r="43">
      <c r="A43" t="inlineStr">
        <is>
          <t>CUST_041</t>
        </is>
      </c>
    </row>
    <row r="44">
      <c r="A44" t="inlineStr">
        <is>
          <t>CUST_042</t>
        </is>
      </c>
    </row>
    <row r="45">
      <c r="A45" t="inlineStr">
        <is>
          <t>CUST_043</t>
        </is>
      </c>
    </row>
    <row r="46">
      <c r="A46" t="inlineStr">
        <is>
          <t>CUST_044</t>
        </is>
      </c>
    </row>
    <row r="47">
      <c r="A47" t="inlineStr">
        <is>
          <t>CUST_045</t>
        </is>
      </c>
    </row>
    <row r="48">
      <c r="A48" t="inlineStr">
        <is>
          <t>CUST_046</t>
        </is>
      </c>
    </row>
    <row r="49">
      <c r="A49" t="inlineStr">
        <is>
          <t>CUST_047</t>
        </is>
      </c>
    </row>
    <row r="50">
      <c r="A50" t="inlineStr">
        <is>
          <t>CUST_048</t>
        </is>
      </c>
    </row>
    <row r="51">
      <c r="A51" t="inlineStr">
        <is>
          <t>CUST_049</t>
        </is>
      </c>
    </row>
    <row r="52">
      <c r="A52" t="inlineStr">
        <is>
          <t>CUST_050</t>
        </is>
      </c>
    </row>
    <row r="53">
      <c r="A53" t="inlineStr">
        <is>
          <t>CUST_051</t>
        </is>
      </c>
    </row>
    <row r="54">
      <c r="A54" t="inlineStr">
        <is>
          <t>CUST_052</t>
        </is>
      </c>
    </row>
    <row r="55">
      <c r="A55" t="inlineStr">
        <is>
          <t>CUST_053</t>
        </is>
      </c>
    </row>
    <row r="56">
      <c r="A56" t="inlineStr">
        <is>
          <t>CUST_054</t>
        </is>
      </c>
    </row>
    <row r="57">
      <c r="A57" t="inlineStr">
        <is>
          <t>CUST_055</t>
        </is>
      </c>
    </row>
    <row r="58">
      <c r="A58" t="inlineStr">
        <is>
          <t>CUST_056</t>
        </is>
      </c>
    </row>
    <row r="59">
      <c r="A59" t="inlineStr">
        <is>
          <t>CUST_057</t>
        </is>
      </c>
    </row>
    <row r="60">
      <c r="A60" t="inlineStr">
        <is>
          <t>CUST_058</t>
        </is>
      </c>
    </row>
    <row r="61">
      <c r="A61" t="inlineStr">
        <is>
          <t>CUST_059</t>
        </is>
      </c>
    </row>
    <row r="62">
      <c r="A62" t="inlineStr">
        <is>
          <t>CUST_060</t>
        </is>
      </c>
    </row>
    <row r="63">
      <c r="A63" t="inlineStr">
        <is>
          <t>CUST_061</t>
        </is>
      </c>
    </row>
    <row r="64">
      <c r="A64" t="inlineStr">
        <is>
          <t>CUST_062</t>
        </is>
      </c>
    </row>
    <row r="65">
      <c r="A65" t="inlineStr">
        <is>
          <t>CUST_063</t>
        </is>
      </c>
    </row>
    <row r="66">
      <c r="A66" t="inlineStr">
        <is>
          <t>CUST_064</t>
        </is>
      </c>
    </row>
    <row r="67">
      <c r="A67" t="inlineStr">
        <is>
          <t>CUST_065</t>
        </is>
      </c>
    </row>
    <row r="68">
      <c r="A68" t="inlineStr">
        <is>
          <t>CUST_066</t>
        </is>
      </c>
    </row>
    <row r="69">
      <c r="A69" t="inlineStr">
        <is>
          <t>CUST_067</t>
        </is>
      </c>
    </row>
    <row r="70">
      <c r="A70" t="inlineStr">
        <is>
          <t>CUST_068</t>
        </is>
      </c>
    </row>
    <row r="71">
      <c r="A71" t="inlineStr">
        <is>
          <t>CUST_069</t>
        </is>
      </c>
    </row>
    <row r="72">
      <c r="A72" t="inlineStr">
        <is>
          <t>CUST_070</t>
        </is>
      </c>
    </row>
    <row r="73">
      <c r="A73" t="inlineStr">
        <is>
          <t>CUST_071</t>
        </is>
      </c>
    </row>
    <row r="74">
      <c r="A74" t="inlineStr">
        <is>
          <t>CUST_072</t>
        </is>
      </c>
    </row>
    <row r="75">
      <c r="A75" t="inlineStr">
        <is>
          <t>CUST_073</t>
        </is>
      </c>
    </row>
    <row r="76">
      <c r="A76" t="inlineStr">
        <is>
          <t>CUST_074</t>
        </is>
      </c>
    </row>
    <row r="77">
      <c r="A77" t="inlineStr">
        <is>
          <t>CUST_075</t>
        </is>
      </c>
    </row>
    <row r="78">
      <c r="A78" t="inlineStr">
        <is>
          <t>CUST_076</t>
        </is>
      </c>
    </row>
    <row r="79">
      <c r="A79" t="inlineStr">
        <is>
          <t>CUST_077</t>
        </is>
      </c>
    </row>
    <row r="80">
      <c r="A80" t="inlineStr">
        <is>
          <t>CUST_078</t>
        </is>
      </c>
    </row>
    <row r="81">
      <c r="A81" t="inlineStr">
        <is>
          <t>CUST_079</t>
        </is>
      </c>
    </row>
    <row r="82">
      <c r="A82" t="inlineStr">
        <is>
          <t>CUST_080</t>
        </is>
      </c>
    </row>
    <row r="83">
      <c r="A83" t="inlineStr">
        <is>
          <t>CUST_081</t>
        </is>
      </c>
    </row>
    <row r="84">
      <c r="A84" t="inlineStr">
        <is>
          <t>CUST_082</t>
        </is>
      </c>
    </row>
    <row r="85">
      <c r="A85" t="inlineStr">
        <is>
          <t>CUST_083</t>
        </is>
      </c>
    </row>
    <row r="86">
      <c r="A86" t="inlineStr">
        <is>
          <t>CUST_084</t>
        </is>
      </c>
    </row>
    <row r="87">
      <c r="A87" t="inlineStr">
        <is>
          <t>CUST_085</t>
        </is>
      </c>
    </row>
    <row r="88">
      <c r="A88" t="inlineStr">
        <is>
          <t>CUST_086</t>
        </is>
      </c>
    </row>
    <row r="89">
      <c r="A89" t="inlineStr">
        <is>
          <t>CUST_087</t>
        </is>
      </c>
    </row>
    <row r="90">
      <c r="A90" t="inlineStr">
        <is>
          <t>CUST_088</t>
        </is>
      </c>
    </row>
    <row r="91">
      <c r="A91" t="inlineStr">
        <is>
          <t>CUST_089</t>
        </is>
      </c>
    </row>
    <row r="92">
      <c r="A92" t="inlineStr">
        <is>
          <t>CUST_090</t>
        </is>
      </c>
    </row>
    <row r="93">
      <c r="A93" t="inlineStr">
        <is>
          <t>CUST_091</t>
        </is>
      </c>
    </row>
    <row r="94">
      <c r="A94" t="inlineStr">
        <is>
          <t>CUST_092</t>
        </is>
      </c>
    </row>
    <row r="95">
      <c r="A95" t="inlineStr">
        <is>
          <t>CUST_093</t>
        </is>
      </c>
    </row>
    <row r="96">
      <c r="A96" t="inlineStr">
        <is>
          <t>CUST_094</t>
        </is>
      </c>
    </row>
    <row r="97">
      <c r="A97" t="inlineStr">
        <is>
          <t>CUST_095</t>
        </is>
      </c>
    </row>
    <row r="98">
      <c r="A98" t="inlineStr">
        <is>
          <t>CUST_096</t>
        </is>
      </c>
    </row>
    <row r="99">
      <c r="A99" t="inlineStr">
        <is>
          <t>CUST_097</t>
        </is>
      </c>
    </row>
    <row r="100">
      <c r="A100" t="inlineStr">
        <is>
          <t>CUST_098</t>
        </is>
      </c>
    </row>
    <row r="101">
      <c r="A101" t="inlineStr">
        <is>
          <t>CUST_099</t>
        </is>
      </c>
    </row>
    <row r="102">
      <c r="A102" t="inlineStr">
        <is>
          <t>CUST_100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2026-08-11T14:14:52Z</dcterms:created>
  <dcterms:modified xmlns:dcterms="http://purl.org/dc/terms/" xmlns:xsi="http://www.w3.org/2001/XMLSchema-instance" xsi:type="dcterms:W3CDTF">2026-08-11T14:14:52Z</dcterms:modified>
</cp:coreProperties>
</file>